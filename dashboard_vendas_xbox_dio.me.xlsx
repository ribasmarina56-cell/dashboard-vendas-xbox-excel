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ase_Dados" sheetId="2" state="visible" r:id="rId4"/>
    <sheet name="Dados" sheetId="3" state="visible" r:id="rId5"/>
  </sheets>
  <definedNames>
    <definedName function="false" hidden="true" localSheetId="1" name="_xlnm._FilterDatabase" vbProcedure="false">Base_Dados!$A$1:$M$601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<sst xmlns="http://schemas.openxmlformats.org/spreadsheetml/2006/main" count="3082" uniqueCount="677">
  <si>
    <t xml:space="preserve">DASHBOARD DE VENDAS | XBOX</t>
  </si>
  <si>
    <t xml:space="preserve">Receita, lucro e desempenho por período, produto, região e canal</t>
  </si>
  <si>
    <t xml:space="preserve">Ano:</t>
  </si>
  <si>
    <t xml:space="preserve">Todos</t>
  </si>
  <si>
    <t xml:space="preserve">Região:</t>
  </si>
  <si>
    <t xml:space="preserve">◄ Selecione nas células amarelas (lista suspensa) para filtrar todo o dashboard</t>
  </si>
  <si>
    <t xml:space="preserve">RECEITA TOTAL</t>
  </si>
  <si>
    <t xml:space="preserve">LUCRO TOTAL</t>
  </si>
  <si>
    <t xml:space="preserve">MARGEM DE LUCRO</t>
  </si>
  <si>
    <t xml:space="preserve">TICKET MÉDIO</t>
  </si>
  <si>
    <t xml:space="preserve">INSIGHTS (atualizam conforme os filtros)</t>
  </si>
  <si>
    <t xml:space="preserve">Dados fictícios para fins didáticos. Fonte: aba Base_Dados (substitua pelos seus dados reais).</t>
  </si>
  <si>
    <t xml:space="preserve">ID Pedido</t>
  </si>
  <si>
    <t xml:space="preserve">Data</t>
  </si>
  <si>
    <t xml:space="preserve">Ano</t>
  </si>
  <si>
    <t xml:space="preserve">Mês</t>
  </si>
  <si>
    <t xml:space="preserve">Produto</t>
  </si>
  <si>
    <t xml:space="preserve">Categoria</t>
  </si>
  <si>
    <t xml:space="preserve">Região</t>
  </si>
  <si>
    <t xml:space="preserve">Canal</t>
  </si>
  <si>
    <t xml:space="preserve">Quantidade</t>
  </si>
  <si>
    <t xml:space="preserve">Preço Unit. (R$)</t>
  </si>
  <si>
    <t xml:space="preserve">Custo Unit. (R$)</t>
  </si>
  <si>
    <t xml:space="preserve">Receita (R$)</t>
  </si>
  <si>
    <t xml:space="preserve">Lucro (R$)</t>
  </si>
  <si>
    <t xml:space="preserve">Nota</t>
  </si>
  <si>
    <t xml:space="preserve">PED-1002</t>
  </si>
  <si>
    <t xml:space="preserve">Cartão Presente R$100</t>
  </si>
  <si>
    <t xml:space="preserve">Serviço</t>
  </si>
  <si>
    <t xml:space="preserve">Sudeste</t>
  </si>
  <si>
    <t xml:space="preserve">Loja Online</t>
  </si>
  <si>
    <t xml:space="preserve">Dados fictícios (valores em azul = entradas). Substitua pelas suas vendas reais mantendo as colunas; Ano, Mês, Receita e Lucro são fórmulas.</t>
  </si>
  <si>
    <t xml:space="preserve">PED-1003</t>
  </si>
  <si>
    <t xml:space="preserve">Console Xbox Series S</t>
  </si>
  <si>
    <t xml:space="preserve">Console</t>
  </si>
  <si>
    <t xml:space="preserve">Sul</t>
  </si>
  <si>
    <t xml:space="preserve">PED-1004</t>
  </si>
  <si>
    <t xml:space="preserve">Controle Sem Fio</t>
  </si>
  <si>
    <t xml:space="preserve">Acessório</t>
  </si>
  <si>
    <t xml:space="preserve">Nordeste</t>
  </si>
  <si>
    <t xml:space="preserve">Loja Física</t>
  </si>
  <si>
    <t xml:space="preserve">PED-1005</t>
  </si>
  <si>
    <t xml:space="preserve">PED-1006</t>
  </si>
  <si>
    <t xml:space="preserve">Norte</t>
  </si>
  <si>
    <t xml:space="preserve">PED-1007</t>
  </si>
  <si>
    <t xml:space="preserve">PED-1008</t>
  </si>
  <si>
    <t xml:space="preserve">PED-1009</t>
  </si>
  <si>
    <t xml:space="preserve">PED-1010</t>
  </si>
  <si>
    <t xml:space="preserve">Game Pass Ultimate (3 meses)</t>
  </si>
  <si>
    <t xml:space="preserve">PED-1011</t>
  </si>
  <si>
    <t xml:space="preserve">Marketplace</t>
  </si>
  <si>
    <t xml:space="preserve">PED-1012</t>
  </si>
  <si>
    <t xml:space="preserve">PED-1013</t>
  </si>
  <si>
    <t xml:space="preserve">PED-1014</t>
  </si>
  <si>
    <t xml:space="preserve">PED-1015</t>
  </si>
  <si>
    <t xml:space="preserve">Centro-Oeste</t>
  </si>
  <si>
    <t xml:space="preserve">PED-1016</t>
  </si>
  <si>
    <t xml:space="preserve">Headset Xbox</t>
  </si>
  <si>
    <t xml:space="preserve">PED-1017</t>
  </si>
  <si>
    <t xml:space="preserve">PED-1018</t>
  </si>
  <si>
    <t xml:space="preserve">PED-1019</t>
  </si>
  <si>
    <t xml:space="preserve">PED-1020</t>
  </si>
  <si>
    <t xml:space="preserve">Console Xbox Series X</t>
  </si>
  <si>
    <t xml:space="preserve">PED-1021</t>
  </si>
  <si>
    <t xml:space="preserve">PED-1022</t>
  </si>
  <si>
    <t xml:space="preserve">PED-1023</t>
  </si>
  <si>
    <t xml:space="preserve">PED-1024</t>
  </si>
  <si>
    <t xml:space="preserve">PED-1025</t>
  </si>
  <si>
    <t xml:space="preserve">PED-1026</t>
  </si>
  <si>
    <t xml:space="preserve">PED-1027</t>
  </si>
  <si>
    <t xml:space="preserve">PED-1028</t>
  </si>
  <si>
    <t xml:space="preserve">PED-1029</t>
  </si>
  <si>
    <t xml:space="preserve">PED-1030</t>
  </si>
  <si>
    <t xml:space="preserve">PED-1031</t>
  </si>
  <si>
    <t xml:space="preserve">PED-1032</t>
  </si>
  <si>
    <t xml:space="preserve">PED-1033</t>
  </si>
  <si>
    <t xml:space="preserve">PED-1034</t>
  </si>
  <si>
    <t xml:space="preserve">PED-1035</t>
  </si>
  <si>
    <t xml:space="preserve">PED-1036</t>
  </si>
  <si>
    <t xml:space="preserve">PED-1037</t>
  </si>
  <si>
    <t xml:space="preserve">PED-1038</t>
  </si>
  <si>
    <t xml:space="preserve">PED-1039</t>
  </si>
  <si>
    <t xml:space="preserve">PED-1040</t>
  </si>
  <si>
    <t xml:space="preserve">PED-1041</t>
  </si>
  <si>
    <t xml:space="preserve">PED-1042</t>
  </si>
  <si>
    <t xml:space="preserve">PED-1043</t>
  </si>
  <si>
    <t xml:space="preserve">PED-1044</t>
  </si>
  <si>
    <t xml:space="preserve">PED-1045</t>
  </si>
  <si>
    <t xml:space="preserve">PED-1046</t>
  </si>
  <si>
    <t xml:space="preserve">PED-1047</t>
  </si>
  <si>
    <t xml:space="preserve">PED-1048</t>
  </si>
  <si>
    <t xml:space="preserve">PED-1049</t>
  </si>
  <si>
    <t xml:space="preserve">PED-1050</t>
  </si>
  <si>
    <t xml:space="preserve">PED-1051</t>
  </si>
  <si>
    <t xml:space="preserve">PED-1052</t>
  </si>
  <si>
    <t xml:space="preserve">PED-1053</t>
  </si>
  <si>
    <t xml:space="preserve">PED-1054</t>
  </si>
  <si>
    <t xml:space="preserve">PED-1055</t>
  </si>
  <si>
    <t xml:space="preserve">PED-1056</t>
  </si>
  <si>
    <t xml:space="preserve">PED-1057</t>
  </si>
  <si>
    <t xml:space="preserve">PED-1058</t>
  </si>
  <si>
    <t xml:space="preserve">PED-1059</t>
  </si>
  <si>
    <t xml:space="preserve">PED-1060</t>
  </si>
  <si>
    <t xml:space="preserve">PED-1061</t>
  </si>
  <si>
    <t xml:space="preserve">PED-1062</t>
  </si>
  <si>
    <t xml:space="preserve">PED-1063</t>
  </si>
  <si>
    <t xml:space="preserve">PED-1064</t>
  </si>
  <si>
    <t xml:space="preserve">PED-1065</t>
  </si>
  <si>
    <t xml:space="preserve">PED-1066</t>
  </si>
  <si>
    <t xml:space="preserve">PED-1067</t>
  </si>
  <si>
    <t xml:space="preserve">PED-1068</t>
  </si>
  <si>
    <t xml:space="preserve">PED-1069</t>
  </si>
  <si>
    <t xml:space="preserve">PED-1070</t>
  </si>
  <si>
    <t xml:space="preserve">PED-1071</t>
  </si>
  <si>
    <t xml:space="preserve">PED-1072</t>
  </si>
  <si>
    <t xml:space="preserve">PED-1073</t>
  </si>
  <si>
    <t xml:space="preserve">PED-1074</t>
  </si>
  <si>
    <t xml:space="preserve">PED-1075</t>
  </si>
  <si>
    <t xml:space="preserve">PED-1076</t>
  </si>
  <si>
    <t xml:space="preserve">PED-1077</t>
  </si>
  <si>
    <t xml:space="preserve">PED-1078</t>
  </si>
  <si>
    <t xml:space="preserve">PED-1079</t>
  </si>
  <si>
    <t xml:space="preserve">PED-1080</t>
  </si>
  <si>
    <t xml:space="preserve">PED-1081</t>
  </si>
  <si>
    <t xml:space="preserve">PED-1082</t>
  </si>
  <si>
    <t xml:space="preserve">PED-1083</t>
  </si>
  <si>
    <t xml:space="preserve">PED-1084</t>
  </si>
  <si>
    <t xml:space="preserve">PED-1085</t>
  </si>
  <si>
    <t xml:space="preserve">PED-1086</t>
  </si>
  <si>
    <t xml:space="preserve">PED-1087</t>
  </si>
  <si>
    <t xml:space="preserve">PED-1088</t>
  </si>
  <si>
    <t xml:space="preserve">PED-1089</t>
  </si>
  <si>
    <t xml:space="preserve">PED-1090</t>
  </si>
  <si>
    <t xml:space="preserve">PED-1091</t>
  </si>
  <si>
    <t xml:space="preserve">PED-1092</t>
  </si>
  <si>
    <t xml:space="preserve">PED-1093</t>
  </si>
  <si>
    <t xml:space="preserve">PED-1094</t>
  </si>
  <si>
    <t xml:space="preserve">PED-1095</t>
  </si>
  <si>
    <t xml:space="preserve">PED-1096</t>
  </si>
  <si>
    <t xml:space="preserve">PED-1097</t>
  </si>
  <si>
    <t xml:space="preserve">PED-1098</t>
  </si>
  <si>
    <t xml:space="preserve">PED-1099</t>
  </si>
  <si>
    <t xml:space="preserve">PED-1100</t>
  </si>
  <si>
    <t xml:space="preserve">PED-1101</t>
  </si>
  <si>
    <t xml:space="preserve">PED-1102</t>
  </si>
  <si>
    <t xml:space="preserve">PED-1103</t>
  </si>
  <si>
    <t xml:space="preserve">PED-1104</t>
  </si>
  <si>
    <t xml:space="preserve">PED-1105</t>
  </si>
  <si>
    <t xml:space="preserve">PED-1106</t>
  </si>
  <si>
    <t xml:space="preserve">PED-1107</t>
  </si>
  <si>
    <t xml:space="preserve">PED-1108</t>
  </si>
  <si>
    <t xml:space="preserve">PED-1109</t>
  </si>
  <si>
    <t xml:space="preserve">PED-1110</t>
  </si>
  <si>
    <t xml:space="preserve">PED-1111</t>
  </si>
  <si>
    <t xml:space="preserve">PED-1112</t>
  </si>
  <si>
    <t xml:space="preserve">PED-1113</t>
  </si>
  <si>
    <t xml:space="preserve">PED-1114</t>
  </si>
  <si>
    <t xml:space="preserve">PED-1115</t>
  </si>
  <si>
    <t xml:space="preserve">PED-1116</t>
  </si>
  <si>
    <t xml:space="preserve">PED-1117</t>
  </si>
  <si>
    <t xml:space="preserve">PED-1118</t>
  </si>
  <si>
    <t xml:space="preserve">PED-1119</t>
  </si>
  <si>
    <t xml:space="preserve">PED-1120</t>
  </si>
  <si>
    <t xml:space="preserve">PED-1121</t>
  </si>
  <si>
    <t xml:space="preserve">PED-1122</t>
  </si>
  <si>
    <t xml:space="preserve">PED-1123</t>
  </si>
  <si>
    <t xml:space="preserve">PED-1124</t>
  </si>
  <si>
    <t xml:space="preserve">PED-1125</t>
  </si>
  <si>
    <t xml:space="preserve">PED-1126</t>
  </si>
  <si>
    <t xml:space="preserve">PED-1127</t>
  </si>
  <si>
    <t xml:space="preserve">PED-1128</t>
  </si>
  <si>
    <t xml:space="preserve">PED-1129</t>
  </si>
  <si>
    <t xml:space="preserve">PED-1130</t>
  </si>
  <si>
    <t xml:space="preserve">PED-1131</t>
  </si>
  <si>
    <t xml:space="preserve">PED-1132</t>
  </si>
  <si>
    <t xml:space="preserve">PED-1133</t>
  </si>
  <si>
    <t xml:space="preserve">PED-1134</t>
  </si>
  <si>
    <t xml:space="preserve">PED-1135</t>
  </si>
  <si>
    <t xml:space="preserve">PED-1136</t>
  </si>
  <si>
    <t xml:space="preserve">PED-1137</t>
  </si>
  <si>
    <t xml:space="preserve">PED-1138</t>
  </si>
  <si>
    <t xml:space="preserve">PED-1139</t>
  </si>
  <si>
    <t xml:space="preserve">PED-1140</t>
  </si>
  <si>
    <t xml:space="preserve">PED-1141</t>
  </si>
  <si>
    <t xml:space="preserve">PED-1142</t>
  </si>
  <si>
    <t xml:space="preserve">PED-1143</t>
  </si>
  <si>
    <t xml:space="preserve">PED-1144</t>
  </si>
  <si>
    <t xml:space="preserve">PED-1145</t>
  </si>
  <si>
    <t xml:space="preserve">PED-1146</t>
  </si>
  <si>
    <t xml:space="preserve">PED-1147</t>
  </si>
  <si>
    <t xml:space="preserve">PED-1148</t>
  </si>
  <si>
    <t xml:space="preserve">PED-1149</t>
  </si>
  <si>
    <t xml:space="preserve">PED-1150</t>
  </si>
  <si>
    <t xml:space="preserve">PED-1151</t>
  </si>
  <si>
    <t xml:space="preserve">PED-1152</t>
  </si>
  <si>
    <t xml:space="preserve">PED-1153</t>
  </si>
  <si>
    <t xml:space="preserve">PED-1154</t>
  </si>
  <si>
    <t xml:space="preserve">PED-1155</t>
  </si>
  <si>
    <t xml:space="preserve">PED-1156</t>
  </si>
  <si>
    <t xml:space="preserve">PED-1157</t>
  </si>
  <si>
    <t xml:space="preserve">PED-1158</t>
  </si>
  <si>
    <t xml:space="preserve">PED-1159</t>
  </si>
  <si>
    <t xml:space="preserve">PED-1160</t>
  </si>
  <si>
    <t xml:space="preserve">PED-1161</t>
  </si>
  <si>
    <t xml:space="preserve">PED-1162</t>
  </si>
  <si>
    <t xml:space="preserve">PED-1163</t>
  </si>
  <si>
    <t xml:space="preserve">PED-1164</t>
  </si>
  <si>
    <t xml:space="preserve">PED-1165</t>
  </si>
  <si>
    <t xml:space="preserve">PED-1166</t>
  </si>
  <si>
    <t xml:space="preserve">PED-1167</t>
  </si>
  <si>
    <t xml:space="preserve">PED-1168</t>
  </si>
  <si>
    <t xml:space="preserve">PED-1169</t>
  </si>
  <si>
    <t xml:space="preserve">PED-1170</t>
  </si>
  <si>
    <t xml:space="preserve">PED-1171</t>
  </si>
  <si>
    <t xml:space="preserve">PED-1172</t>
  </si>
  <si>
    <t xml:space="preserve">PED-1173</t>
  </si>
  <si>
    <t xml:space="preserve">PED-1174</t>
  </si>
  <si>
    <t xml:space="preserve">PED-1175</t>
  </si>
  <si>
    <t xml:space="preserve">PED-1176</t>
  </si>
  <si>
    <t xml:space="preserve">PED-1177</t>
  </si>
  <si>
    <t xml:space="preserve">PED-1178</t>
  </si>
  <si>
    <t xml:space="preserve">PED-1179</t>
  </si>
  <si>
    <t xml:space="preserve">PED-1180</t>
  </si>
  <si>
    <t xml:space="preserve">PED-1181</t>
  </si>
  <si>
    <t xml:space="preserve">PED-1182</t>
  </si>
  <si>
    <t xml:space="preserve">PED-1183</t>
  </si>
  <si>
    <t xml:space="preserve">PED-1184</t>
  </si>
  <si>
    <t xml:space="preserve">PED-1185</t>
  </si>
  <si>
    <t xml:space="preserve">PED-1186</t>
  </si>
  <si>
    <t xml:space="preserve">PED-1187</t>
  </si>
  <si>
    <t xml:space="preserve">PED-1188</t>
  </si>
  <si>
    <t xml:space="preserve">PED-1189</t>
  </si>
  <si>
    <t xml:space="preserve">PED-1190</t>
  </si>
  <si>
    <t xml:space="preserve">PED-1191</t>
  </si>
  <si>
    <t xml:space="preserve">PED-1192</t>
  </si>
  <si>
    <t xml:space="preserve">PED-1193</t>
  </si>
  <si>
    <t xml:space="preserve">PED-1194</t>
  </si>
  <si>
    <t xml:space="preserve">PED-1195</t>
  </si>
  <si>
    <t xml:space="preserve">PED-1196</t>
  </si>
  <si>
    <t xml:space="preserve">PED-1197</t>
  </si>
  <si>
    <t xml:space="preserve">PED-1198</t>
  </si>
  <si>
    <t xml:space="preserve">PED-1199</t>
  </si>
  <si>
    <t xml:space="preserve">PED-1200</t>
  </si>
  <si>
    <t xml:space="preserve">PED-1201</t>
  </si>
  <si>
    <t xml:space="preserve">PED-1202</t>
  </si>
  <si>
    <t xml:space="preserve">PED-1203</t>
  </si>
  <si>
    <t xml:space="preserve">PED-1204</t>
  </si>
  <si>
    <t xml:space="preserve">PED-1205</t>
  </si>
  <si>
    <t xml:space="preserve">PED-1206</t>
  </si>
  <si>
    <t xml:space="preserve">PED-1207</t>
  </si>
  <si>
    <t xml:space="preserve">PED-1208</t>
  </si>
  <si>
    <t xml:space="preserve">PED-1209</t>
  </si>
  <si>
    <t xml:space="preserve">PED-1210</t>
  </si>
  <si>
    <t xml:space="preserve">PED-1211</t>
  </si>
  <si>
    <t xml:space="preserve">PED-1212</t>
  </si>
  <si>
    <t xml:space="preserve">PED-1213</t>
  </si>
  <si>
    <t xml:space="preserve">PED-1214</t>
  </si>
  <si>
    <t xml:space="preserve">PED-1215</t>
  </si>
  <si>
    <t xml:space="preserve">PED-1216</t>
  </si>
  <si>
    <t xml:space="preserve">PED-1217</t>
  </si>
  <si>
    <t xml:space="preserve">PED-1218</t>
  </si>
  <si>
    <t xml:space="preserve">PED-1219</t>
  </si>
  <si>
    <t xml:space="preserve">PED-1220</t>
  </si>
  <si>
    <t xml:space="preserve">PED-1221</t>
  </si>
  <si>
    <t xml:space="preserve">PED-1222</t>
  </si>
  <si>
    <t xml:space="preserve">PED-1223</t>
  </si>
  <si>
    <t xml:space="preserve">PED-1224</t>
  </si>
  <si>
    <t xml:space="preserve">PED-1225</t>
  </si>
  <si>
    <t xml:space="preserve">PED-1226</t>
  </si>
  <si>
    <t xml:space="preserve">PED-1227</t>
  </si>
  <si>
    <t xml:space="preserve">PED-1228</t>
  </si>
  <si>
    <t xml:space="preserve">PED-1229</t>
  </si>
  <si>
    <t xml:space="preserve">PED-1230</t>
  </si>
  <si>
    <t xml:space="preserve">PED-1231</t>
  </si>
  <si>
    <t xml:space="preserve">PED-1232</t>
  </si>
  <si>
    <t xml:space="preserve">PED-1233</t>
  </si>
  <si>
    <t xml:space="preserve">PED-1234</t>
  </si>
  <si>
    <t xml:space="preserve">PED-1235</t>
  </si>
  <si>
    <t xml:space="preserve">PED-1236</t>
  </si>
  <si>
    <t xml:space="preserve">PED-1237</t>
  </si>
  <si>
    <t xml:space="preserve">PED-1238</t>
  </si>
  <si>
    <t xml:space="preserve">PED-1239</t>
  </si>
  <si>
    <t xml:space="preserve">PED-1240</t>
  </si>
  <si>
    <t xml:space="preserve">PED-1241</t>
  </si>
  <si>
    <t xml:space="preserve">PED-1242</t>
  </si>
  <si>
    <t xml:space="preserve">PED-1243</t>
  </si>
  <si>
    <t xml:space="preserve">PED-1244</t>
  </si>
  <si>
    <t xml:space="preserve">PED-1245</t>
  </si>
  <si>
    <t xml:space="preserve">PED-1246</t>
  </si>
  <si>
    <t xml:space="preserve">PED-1247</t>
  </si>
  <si>
    <t xml:space="preserve">PED-1248</t>
  </si>
  <si>
    <t xml:space="preserve">PED-1249</t>
  </si>
  <si>
    <t xml:space="preserve">PED-1250</t>
  </si>
  <si>
    <t xml:space="preserve">PED-1251</t>
  </si>
  <si>
    <t xml:space="preserve">PED-1252</t>
  </si>
  <si>
    <t xml:space="preserve">PED-1253</t>
  </si>
  <si>
    <t xml:space="preserve">PED-1254</t>
  </si>
  <si>
    <t xml:space="preserve">PED-1255</t>
  </si>
  <si>
    <t xml:space="preserve">PED-1256</t>
  </si>
  <si>
    <t xml:space="preserve">PED-1257</t>
  </si>
  <si>
    <t xml:space="preserve">PED-1258</t>
  </si>
  <si>
    <t xml:space="preserve">PED-1259</t>
  </si>
  <si>
    <t xml:space="preserve">PED-1260</t>
  </si>
  <si>
    <t xml:space="preserve">PED-1261</t>
  </si>
  <si>
    <t xml:space="preserve">PED-1262</t>
  </si>
  <si>
    <t xml:space="preserve">PED-1263</t>
  </si>
  <si>
    <t xml:space="preserve">PED-1264</t>
  </si>
  <si>
    <t xml:space="preserve">PED-1265</t>
  </si>
  <si>
    <t xml:space="preserve">PED-1266</t>
  </si>
  <si>
    <t xml:space="preserve">PED-1267</t>
  </si>
  <si>
    <t xml:space="preserve">PED-1268</t>
  </si>
  <si>
    <t xml:space="preserve">PED-1269</t>
  </si>
  <si>
    <t xml:space="preserve">PED-1270</t>
  </si>
  <si>
    <t xml:space="preserve">PED-1271</t>
  </si>
  <si>
    <t xml:space="preserve">PED-1272</t>
  </si>
  <si>
    <t xml:space="preserve">PED-1273</t>
  </si>
  <si>
    <t xml:space="preserve">PED-1274</t>
  </si>
  <si>
    <t xml:space="preserve">PED-1275</t>
  </si>
  <si>
    <t xml:space="preserve">PED-1276</t>
  </si>
  <si>
    <t xml:space="preserve">PED-1277</t>
  </si>
  <si>
    <t xml:space="preserve">PED-1278</t>
  </si>
  <si>
    <t xml:space="preserve">PED-1279</t>
  </si>
  <si>
    <t xml:space="preserve">PED-1280</t>
  </si>
  <si>
    <t xml:space="preserve">PED-1281</t>
  </si>
  <si>
    <t xml:space="preserve">PED-1282</t>
  </si>
  <si>
    <t xml:space="preserve">PED-1283</t>
  </si>
  <si>
    <t xml:space="preserve">PED-1284</t>
  </si>
  <si>
    <t xml:space="preserve">PED-1285</t>
  </si>
  <si>
    <t xml:space="preserve">PED-1286</t>
  </si>
  <si>
    <t xml:space="preserve">PED-1287</t>
  </si>
  <si>
    <t xml:space="preserve">PED-1288</t>
  </si>
  <si>
    <t xml:space="preserve">PED-1289</t>
  </si>
  <si>
    <t xml:space="preserve">PED-1290</t>
  </si>
  <si>
    <t xml:space="preserve">PED-1291</t>
  </si>
  <si>
    <t xml:space="preserve">PED-1292</t>
  </si>
  <si>
    <t xml:space="preserve">PED-1293</t>
  </si>
  <si>
    <t xml:space="preserve">PED-1294</t>
  </si>
  <si>
    <t xml:space="preserve">PED-1295</t>
  </si>
  <si>
    <t xml:space="preserve">PED-1296</t>
  </si>
  <si>
    <t xml:space="preserve">PED-1297</t>
  </si>
  <si>
    <t xml:space="preserve">PED-1298</t>
  </si>
  <si>
    <t xml:space="preserve">PED-1299</t>
  </si>
  <si>
    <t xml:space="preserve">PED-1300</t>
  </si>
  <si>
    <t xml:space="preserve">PED-1301</t>
  </si>
  <si>
    <t xml:space="preserve">PED-1302</t>
  </si>
  <si>
    <t xml:space="preserve">PED-1303</t>
  </si>
  <si>
    <t xml:space="preserve">PED-1304</t>
  </si>
  <si>
    <t xml:space="preserve">PED-1305</t>
  </si>
  <si>
    <t xml:space="preserve">PED-1306</t>
  </si>
  <si>
    <t xml:space="preserve">PED-1307</t>
  </si>
  <si>
    <t xml:space="preserve">PED-1308</t>
  </si>
  <si>
    <t xml:space="preserve">PED-1309</t>
  </si>
  <si>
    <t xml:space="preserve">PED-1310</t>
  </si>
  <si>
    <t xml:space="preserve">PED-1311</t>
  </si>
  <si>
    <t xml:space="preserve">PED-1312</t>
  </si>
  <si>
    <t xml:space="preserve">PED-1313</t>
  </si>
  <si>
    <t xml:space="preserve">PED-1314</t>
  </si>
  <si>
    <t xml:space="preserve">PED-1315</t>
  </si>
  <si>
    <t xml:space="preserve">PED-1316</t>
  </si>
  <si>
    <t xml:space="preserve">PED-1317</t>
  </si>
  <si>
    <t xml:space="preserve">PED-1318</t>
  </si>
  <si>
    <t xml:space="preserve">PED-1319</t>
  </si>
  <si>
    <t xml:space="preserve">PED-1320</t>
  </si>
  <si>
    <t xml:space="preserve">PED-1321</t>
  </si>
  <si>
    <t xml:space="preserve">PED-1322</t>
  </si>
  <si>
    <t xml:space="preserve">PED-1323</t>
  </si>
  <si>
    <t xml:space="preserve">PED-1324</t>
  </si>
  <si>
    <t xml:space="preserve">PED-1325</t>
  </si>
  <si>
    <t xml:space="preserve">PED-1326</t>
  </si>
  <si>
    <t xml:space="preserve">PED-1327</t>
  </si>
  <si>
    <t xml:space="preserve">PED-1328</t>
  </si>
  <si>
    <t xml:space="preserve">PED-1329</t>
  </si>
  <si>
    <t xml:space="preserve">PED-1330</t>
  </si>
  <si>
    <t xml:space="preserve">PED-1331</t>
  </si>
  <si>
    <t xml:space="preserve">PED-1332</t>
  </si>
  <si>
    <t xml:space="preserve">PED-1333</t>
  </si>
  <si>
    <t xml:space="preserve">PED-1334</t>
  </si>
  <si>
    <t xml:space="preserve">PED-1335</t>
  </si>
  <si>
    <t xml:space="preserve">PED-1336</t>
  </si>
  <si>
    <t xml:space="preserve">PED-1337</t>
  </si>
  <si>
    <t xml:space="preserve">PED-1338</t>
  </si>
  <si>
    <t xml:space="preserve">PED-1339</t>
  </si>
  <si>
    <t xml:space="preserve">PED-1340</t>
  </si>
  <si>
    <t xml:space="preserve">PED-1341</t>
  </si>
  <si>
    <t xml:space="preserve">PED-1342</t>
  </si>
  <si>
    <t xml:space="preserve">PED-1343</t>
  </si>
  <si>
    <t xml:space="preserve">PED-1344</t>
  </si>
  <si>
    <t xml:space="preserve">PED-1345</t>
  </si>
  <si>
    <t xml:space="preserve">PED-1346</t>
  </si>
  <si>
    <t xml:space="preserve">PED-1347</t>
  </si>
  <si>
    <t xml:space="preserve">PED-1348</t>
  </si>
  <si>
    <t xml:space="preserve">PED-1349</t>
  </si>
  <si>
    <t xml:space="preserve">PED-1350</t>
  </si>
  <si>
    <t xml:space="preserve">PED-1351</t>
  </si>
  <si>
    <t xml:space="preserve">PED-1352</t>
  </si>
  <si>
    <t xml:space="preserve">PED-1353</t>
  </si>
  <si>
    <t xml:space="preserve">PED-1354</t>
  </si>
  <si>
    <t xml:space="preserve">PED-1355</t>
  </si>
  <si>
    <t xml:space="preserve">PED-1356</t>
  </si>
  <si>
    <t xml:space="preserve">PED-1357</t>
  </si>
  <si>
    <t xml:space="preserve">PED-1358</t>
  </si>
  <si>
    <t xml:space="preserve">PED-1359</t>
  </si>
  <si>
    <t xml:space="preserve">PED-1360</t>
  </si>
  <si>
    <t xml:space="preserve">PED-1361</t>
  </si>
  <si>
    <t xml:space="preserve">PED-1362</t>
  </si>
  <si>
    <t xml:space="preserve">PED-1363</t>
  </si>
  <si>
    <t xml:space="preserve">PED-1364</t>
  </si>
  <si>
    <t xml:space="preserve">PED-1365</t>
  </si>
  <si>
    <t xml:space="preserve">PED-1366</t>
  </si>
  <si>
    <t xml:space="preserve">PED-1367</t>
  </si>
  <si>
    <t xml:space="preserve">PED-1368</t>
  </si>
  <si>
    <t xml:space="preserve">PED-1369</t>
  </si>
  <si>
    <t xml:space="preserve">PED-1370</t>
  </si>
  <si>
    <t xml:space="preserve">PED-1371</t>
  </si>
  <si>
    <t xml:space="preserve">PED-1372</t>
  </si>
  <si>
    <t xml:space="preserve">PED-1373</t>
  </si>
  <si>
    <t xml:space="preserve">PED-1374</t>
  </si>
  <si>
    <t xml:space="preserve">PED-1375</t>
  </si>
  <si>
    <t xml:space="preserve">PED-1376</t>
  </si>
  <si>
    <t xml:space="preserve">PED-1377</t>
  </si>
  <si>
    <t xml:space="preserve">PED-1378</t>
  </si>
  <si>
    <t xml:space="preserve">PED-1379</t>
  </si>
  <si>
    <t xml:space="preserve">PED-1380</t>
  </si>
  <si>
    <t xml:space="preserve">PED-1381</t>
  </si>
  <si>
    <t xml:space="preserve">PED-1382</t>
  </si>
  <si>
    <t xml:space="preserve">PED-1383</t>
  </si>
  <si>
    <t xml:space="preserve">PED-1384</t>
  </si>
  <si>
    <t xml:space="preserve">PED-1385</t>
  </si>
  <si>
    <t xml:space="preserve">PED-1386</t>
  </si>
  <si>
    <t xml:space="preserve">PED-1387</t>
  </si>
  <si>
    <t xml:space="preserve">PED-1388</t>
  </si>
  <si>
    <t xml:space="preserve">PED-1389</t>
  </si>
  <si>
    <t xml:space="preserve">PED-1390</t>
  </si>
  <si>
    <t xml:space="preserve">PED-1391</t>
  </si>
  <si>
    <t xml:space="preserve">PED-1392</t>
  </si>
  <si>
    <t xml:space="preserve">PED-1393</t>
  </si>
  <si>
    <t xml:space="preserve">PED-1394</t>
  </si>
  <si>
    <t xml:space="preserve">PED-1395</t>
  </si>
  <si>
    <t xml:space="preserve">PED-1396</t>
  </si>
  <si>
    <t xml:space="preserve">PED-1397</t>
  </si>
  <si>
    <t xml:space="preserve">PED-1398</t>
  </si>
  <si>
    <t xml:space="preserve">PED-1399</t>
  </si>
  <si>
    <t xml:space="preserve">PED-1400</t>
  </si>
  <si>
    <t xml:space="preserve">PED-1401</t>
  </si>
  <si>
    <t xml:space="preserve">PED-1402</t>
  </si>
  <si>
    <t xml:space="preserve">PED-1403</t>
  </si>
  <si>
    <t xml:space="preserve">PED-1404</t>
  </si>
  <si>
    <t xml:space="preserve">PED-1405</t>
  </si>
  <si>
    <t xml:space="preserve">PED-1406</t>
  </si>
  <si>
    <t xml:space="preserve">PED-1407</t>
  </si>
  <si>
    <t xml:space="preserve">PED-1408</t>
  </si>
  <si>
    <t xml:space="preserve">PED-1409</t>
  </si>
  <si>
    <t xml:space="preserve">PED-1410</t>
  </si>
  <si>
    <t xml:space="preserve">PED-1411</t>
  </si>
  <si>
    <t xml:space="preserve">PED-1412</t>
  </si>
  <si>
    <t xml:space="preserve">PED-1413</t>
  </si>
  <si>
    <t xml:space="preserve">PED-1414</t>
  </si>
  <si>
    <t xml:space="preserve">PED-1415</t>
  </si>
  <si>
    <t xml:space="preserve">PED-1416</t>
  </si>
  <si>
    <t xml:space="preserve">PED-1417</t>
  </si>
  <si>
    <t xml:space="preserve">PED-1418</t>
  </si>
  <si>
    <t xml:space="preserve">PED-1419</t>
  </si>
  <si>
    <t xml:space="preserve">PED-1420</t>
  </si>
  <si>
    <t xml:space="preserve">PED-1421</t>
  </si>
  <si>
    <t xml:space="preserve">PED-1422</t>
  </si>
  <si>
    <t xml:space="preserve">PED-1423</t>
  </si>
  <si>
    <t xml:space="preserve">PED-1424</t>
  </si>
  <si>
    <t xml:space="preserve">PED-1425</t>
  </si>
  <si>
    <t xml:space="preserve">PED-1426</t>
  </si>
  <si>
    <t xml:space="preserve">PED-1427</t>
  </si>
  <si>
    <t xml:space="preserve">PED-1428</t>
  </si>
  <si>
    <t xml:space="preserve">PED-1429</t>
  </si>
  <si>
    <t xml:space="preserve">PED-1430</t>
  </si>
  <si>
    <t xml:space="preserve">PED-1431</t>
  </si>
  <si>
    <t xml:space="preserve">PED-1432</t>
  </si>
  <si>
    <t xml:space="preserve">PED-1433</t>
  </si>
  <si>
    <t xml:space="preserve">PED-1434</t>
  </si>
  <si>
    <t xml:space="preserve">PED-1435</t>
  </si>
  <si>
    <t xml:space="preserve">PED-1436</t>
  </si>
  <si>
    <t xml:space="preserve">PED-1437</t>
  </si>
  <si>
    <t xml:space="preserve">PED-1438</t>
  </si>
  <si>
    <t xml:space="preserve">PED-1439</t>
  </si>
  <si>
    <t xml:space="preserve">PED-1440</t>
  </si>
  <si>
    <t xml:space="preserve">PED-1441</t>
  </si>
  <si>
    <t xml:space="preserve">PED-1442</t>
  </si>
  <si>
    <t xml:space="preserve">PED-1443</t>
  </si>
  <si>
    <t xml:space="preserve">PED-1444</t>
  </si>
  <si>
    <t xml:space="preserve">PED-1445</t>
  </si>
  <si>
    <t xml:space="preserve">PED-1446</t>
  </si>
  <si>
    <t xml:space="preserve">PED-1447</t>
  </si>
  <si>
    <t xml:space="preserve">PED-1448</t>
  </si>
  <si>
    <t xml:space="preserve">PED-1449</t>
  </si>
  <si>
    <t xml:space="preserve">PED-1450</t>
  </si>
  <si>
    <t xml:space="preserve">PED-1451</t>
  </si>
  <si>
    <t xml:space="preserve">PED-1452</t>
  </si>
  <si>
    <t xml:space="preserve">PED-1453</t>
  </si>
  <si>
    <t xml:space="preserve">PED-1454</t>
  </si>
  <si>
    <t xml:space="preserve">PED-1455</t>
  </si>
  <si>
    <t xml:space="preserve">PED-1456</t>
  </si>
  <si>
    <t xml:space="preserve">PED-1457</t>
  </si>
  <si>
    <t xml:space="preserve">PED-1458</t>
  </si>
  <si>
    <t xml:space="preserve">PED-1459</t>
  </si>
  <si>
    <t xml:space="preserve">PED-1460</t>
  </si>
  <si>
    <t xml:space="preserve">PED-1461</t>
  </si>
  <si>
    <t xml:space="preserve">PED-1462</t>
  </si>
  <si>
    <t xml:space="preserve">PED-1463</t>
  </si>
  <si>
    <t xml:space="preserve">PED-1464</t>
  </si>
  <si>
    <t xml:space="preserve">PED-1465</t>
  </si>
  <si>
    <t xml:space="preserve">PED-1466</t>
  </si>
  <si>
    <t xml:space="preserve">PED-1467</t>
  </si>
  <si>
    <t xml:space="preserve">PED-1468</t>
  </si>
  <si>
    <t xml:space="preserve">PED-1469</t>
  </si>
  <si>
    <t xml:space="preserve">PED-1470</t>
  </si>
  <si>
    <t xml:space="preserve">PED-1471</t>
  </si>
  <si>
    <t xml:space="preserve">PED-1472</t>
  </si>
  <si>
    <t xml:space="preserve">PED-1473</t>
  </si>
  <si>
    <t xml:space="preserve">PED-1474</t>
  </si>
  <si>
    <t xml:space="preserve">PED-1475</t>
  </si>
  <si>
    <t xml:space="preserve">PED-1476</t>
  </si>
  <si>
    <t xml:space="preserve">PED-1477</t>
  </si>
  <si>
    <t xml:space="preserve">PED-1478</t>
  </si>
  <si>
    <t xml:space="preserve">PED-1479</t>
  </si>
  <si>
    <t xml:space="preserve">PED-1480</t>
  </si>
  <si>
    <t xml:space="preserve">PED-1481</t>
  </si>
  <si>
    <t xml:space="preserve">PED-1482</t>
  </si>
  <si>
    <t xml:space="preserve">PED-1483</t>
  </si>
  <si>
    <t xml:space="preserve">PED-1484</t>
  </si>
  <si>
    <t xml:space="preserve">PED-1485</t>
  </si>
  <si>
    <t xml:space="preserve">PED-1486</t>
  </si>
  <si>
    <t xml:space="preserve">PED-1487</t>
  </si>
  <si>
    <t xml:space="preserve">PED-1488</t>
  </si>
  <si>
    <t xml:space="preserve">PED-1489</t>
  </si>
  <si>
    <t xml:space="preserve">PED-1490</t>
  </si>
  <si>
    <t xml:space="preserve">PED-1491</t>
  </si>
  <si>
    <t xml:space="preserve">PED-1492</t>
  </si>
  <si>
    <t xml:space="preserve">PED-1493</t>
  </si>
  <si>
    <t xml:space="preserve">PED-1494</t>
  </si>
  <si>
    <t xml:space="preserve">PED-1495</t>
  </si>
  <si>
    <t xml:space="preserve">PED-1496</t>
  </si>
  <si>
    <t xml:space="preserve">PED-1497</t>
  </si>
  <si>
    <t xml:space="preserve">PED-1498</t>
  </si>
  <si>
    <t xml:space="preserve">PED-1499</t>
  </si>
  <si>
    <t xml:space="preserve">PED-1500</t>
  </si>
  <si>
    <t xml:space="preserve">PED-1501</t>
  </si>
  <si>
    <t xml:space="preserve">PED-1502</t>
  </si>
  <si>
    <t xml:space="preserve">PED-1503</t>
  </si>
  <si>
    <t xml:space="preserve">PED-1504</t>
  </si>
  <si>
    <t xml:space="preserve">PED-1505</t>
  </si>
  <si>
    <t xml:space="preserve">PED-1506</t>
  </si>
  <si>
    <t xml:space="preserve">PED-1507</t>
  </si>
  <si>
    <t xml:space="preserve">PED-1508</t>
  </si>
  <si>
    <t xml:space="preserve">PED-1509</t>
  </si>
  <si>
    <t xml:space="preserve">PED-1510</t>
  </si>
  <si>
    <t xml:space="preserve">PED-1511</t>
  </si>
  <si>
    <t xml:space="preserve">PED-1512</t>
  </si>
  <si>
    <t xml:space="preserve">PED-1513</t>
  </si>
  <si>
    <t xml:space="preserve">PED-1514</t>
  </si>
  <si>
    <t xml:space="preserve">PED-1515</t>
  </si>
  <si>
    <t xml:space="preserve">PED-1516</t>
  </si>
  <si>
    <t xml:space="preserve">PED-1517</t>
  </si>
  <si>
    <t xml:space="preserve">PED-1518</t>
  </si>
  <si>
    <t xml:space="preserve">PED-1519</t>
  </si>
  <si>
    <t xml:space="preserve">PED-1520</t>
  </si>
  <si>
    <t xml:space="preserve">PED-1521</t>
  </si>
  <si>
    <t xml:space="preserve">PED-1522</t>
  </si>
  <si>
    <t xml:space="preserve">PED-1523</t>
  </si>
  <si>
    <t xml:space="preserve">PED-1524</t>
  </si>
  <si>
    <t xml:space="preserve">PED-1525</t>
  </si>
  <si>
    <t xml:space="preserve">PED-1526</t>
  </si>
  <si>
    <t xml:space="preserve">PED-1527</t>
  </si>
  <si>
    <t xml:space="preserve">PED-1528</t>
  </si>
  <si>
    <t xml:space="preserve">PED-1529</t>
  </si>
  <si>
    <t xml:space="preserve">PED-1530</t>
  </si>
  <si>
    <t xml:space="preserve">PED-1531</t>
  </si>
  <si>
    <t xml:space="preserve">PED-1532</t>
  </si>
  <si>
    <t xml:space="preserve">PED-1533</t>
  </si>
  <si>
    <t xml:space="preserve">PED-1534</t>
  </si>
  <si>
    <t xml:space="preserve">PED-1535</t>
  </si>
  <si>
    <t xml:space="preserve">PED-1536</t>
  </si>
  <si>
    <t xml:space="preserve">PED-1537</t>
  </si>
  <si>
    <t xml:space="preserve">PED-1538</t>
  </si>
  <si>
    <t xml:space="preserve">PED-1539</t>
  </si>
  <si>
    <t xml:space="preserve">PED-1540</t>
  </si>
  <si>
    <t xml:space="preserve">PED-1541</t>
  </si>
  <si>
    <t xml:space="preserve">PED-1542</t>
  </si>
  <si>
    <t xml:space="preserve">PED-1543</t>
  </si>
  <si>
    <t xml:space="preserve">PED-1544</t>
  </si>
  <si>
    <t xml:space="preserve">PED-1545</t>
  </si>
  <si>
    <t xml:space="preserve">PED-1546</t>
  </si>
  <si>
    <t xml:space="preserve">PED-1547</t>
  </si>
  <si>
    <t xml:space="preserve">PED-1548</t>
  </si>
  <si>
    <t xml:space="preserve">PED-1549</t>
  </si>
  <si>
    <t xml:space="preserve">PED-1550</t>
  </si>
  <si>
    <t xml:space="preserve">PED-1551</t>
  </si>
  <si>
    <t xml:space="preserve">PED-1552</t>
  </si>
  <si>
    <t xml:space="preserve">PED-1553</t>
  </si>
  <si>
    <t xml:space="preserve">PED-1554</t>
  </si>
  <si>
    <t xml:space="preserve">PED-1555</t>
  </si>
  <si>
    <t xml:space="preserve">PED-1556</t>
  </si>
  <si>
    <t xml:space="preserve">PED-1557</t>
  </si>
  <si>
    <t xml:space="preserve">PED-1558</t>
  </si>
  <si>
    <t xml:space="preserve">PED-1559</t>
  </si>
  <si>
    <t xml:space="preserve">PED-1560</t>
  </si>
  <si>
    <t xml:space="preserve">PED-1561</t>
  </si>
  <si>
    <t xml:space="preserve">PED-1562</t>
  </si>
  <si>
    <t xml:space="preserve">PED-1563</t>
  </si>
  <si>
    <t xml:space="preserve">PED-1564</t>
  </si>
  <si>
    <t xml:space="preserve">PED-1565</t>
  </si>
  <si>
    <t xml:space="preserve">PED-1566</t>
  </si>
  <si>
    <t xml:space="preserve">PED-1567</t>
  </si>
  <si>
    <t xml:space="preserve">PED-1568</t>
  </si>
  <si>
    <t xml:space="preserve">PED-1569</t>
  </si>
  <si>
    <t xml:space="preserve">PED-1570</t>
  </si>
  <si>
    <t xml:space="preserve">PED-1571</t>
  </si>
  <si>
    <t xml:space="preserve">PED-1572</t>
  </si>
  <si>
    <t xml:space="preserve">PED-1573</t>
  </si>
  <si>
    <t xml:space="preserve">PED-1574</t>
  </si>
  <si>
    <t xml:space="preserve">PED-1575</t>
  </si>
  <si>
    <t xml:space="preserve">PED-1576</t>
  </si>
  <si>
    <t xml:space="preserve">PED-1577</t>
  </si>
  <si>
    <t xml:space="preserve">PED-1578</t>
  </si>
  <si>
    <t xml:space="preserve">PED-1579</t>
  </si>
  <si>
    <t xml:space="preserve">PED-1580</t>
  </si>
  <si>
    <t xml:space="preserve">PED-1581</t>
  </si>
  <si>
    <t xml:space="preserve">PED-1582</t>
  </si>
  <si>
    <t xml:space="preserve">PED-1583</t>
  </si>
  <si>
    <t xml:space="preserve">PED-1584</t>
  </si>
  <si>
    <t xml:space="preserve">PED-1585</t>
  </si>
  <si>
    <t xml:space="preserve">PED-1586</t>
  </si>
  <si>
    <t xml:space="preserve">PED-1587</t>
  </si>
  <si>
    <t xml:space="preserve">PED-1588</t>
  </si>
  <si>
    <t xml:space="preserve">PED-1589</t>
  </si>
  <si>
    <t xml:space="preserve">PED-1590</t>
  </si>
  <si>
    <t xml:space="preserve">PED-1591</t>
  </si>
  <si>
    <t xml:space="preserve">PED-1592</t>
  </si>
  <si>
    <t xml:space="preserve">PED-1593</t>
  </si>
  <si>
    <t xml:space="preserve">PED-1594</t>
  </si>
  <si>
    <t xml:space="preserve">PED-1595</t>
  </si>
  <si>
    <t xml:space="preserve">PED-1596</t>
  </si>
  <si>
    <t xml:space="preserve">PED-1597</t>
  </si>
  <si>
    <t xml:space="preserve">PED-1598</t>
  </si>
  <si>
    <t xml:space="preserve">PED-1599</t>
  </si>
  <si>
    <t xml:space="preserve">PED-1600</t>
  </si>
  <si>
    <t xml:space="preserve">PED-1601</t>
  </si>
  <si>
    <t xml:space="preserve">Tabelas de apoio do dashboard (calculadas a partir de Base_Dados e dos filtros do Dashboard)</t>
  </si>
  <si>
    <t xml:space="preserve">Critério Ano</t>
  </si>
  <si>
    <t xml:space="preserve">Critério Região</t>
  </si>
  <si>
    <t xml:space="preserve">Nº</t>
  </si>
  <si>
    <t xml:space="preserve">Receita</t>
  </si>
  <si>
    <t xml:space="preserve">Lucro</t>
  </si>
  <si>
    <t xml:space="preserve">Unidades</t>
  </si>
  <si>
    <t xml:space="preserve">Indicador</t>
  </si>
  <si>
    <t xml:space="preserve">Valor</t>
  </si>
  <si>
    <t xml:space="preserve">Jan</t>
  </si>
  <si>
    <t xml:space="preserve">Receita total</t>
  </si>
  <si>
    <t xml:space="preserve">Fev</t>
  </si>
  <si>
    <t xml:space="preserve">Unidades vendidas</t>
  </si>
  <si>
    <t xml:space="preserve">Mar</t>
  </si>
  <si>
    <t xml:space="preserve">Lucro total</t>
  </si>
  <si>
    <t xml:space="preserve">Abr</t>
  </si>
  <si>
    <t xml:space="preserve">Margem de lucro</t>
  </si>
  <si>
    <t xml:space="preserve">Mai</t>
  </si>
  <si>
    <t xml:space="preserve">Nº de pedidos</t>
  </si>
  <si>
    <t xml:space="preserve">Jun</t>
  </si>
  <si>
    <t xml:space="preserve">Ticket médio</t>
  </si>
  <si>
    <t xml:space="preserve">Jul</t>
  </si>
  <si>
    <t xml:space="preserve">* Região ignora o filtro de Região para permitir comparação.</t>
  </si>
  <si>
    <t xml:space="preserve">Produto líder</t>
  </si>
  <si>
    <t xml:space="preserve">Ago</t>
  </si>
  <si>
    <t xml:space="preserve">Participação do produto líder</t>
  </si>
  <si>
    <t xml:space="preserve">Set</t>
  </si>
  <si>
    <t xml:space="preserve">Melhor mês</t>
  </si>
  <si>
    <t xml:space="preserve">Out</t>
  </si>
  <si>
    <t xml:space="preserve">Região líder</t>
  </si>
  <si>
    <t xml:space="preserve">Nov</t>
  </si>
  <si>
    <t xml:space="preserve">Canal líder</t>
  </si>
  <si>
    <t xml:space="preserve">Dez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</si>
</sst>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"/>
    <numFmt numFmtId="166" formatCode="0.0%"/>
    <numFmt numFmtId="167" formatCode="#,##0"/>
    <numFmt numFmtId="168" formatCode="dd/mm/yyyy"/>
    <numFmt numFmtId="169" formatCode="General"/>
    <numFmt numFmtId="170" formatCode="&quot;R$ &quot;#,##0.00"/>
    <numFmt numFmtId="171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9BDB9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9"/>
      <color rgb="FF6B6B6B"/>
      <name val="Arial"/>
      <family val="0"/>
      <charset val="1"/>
    </font>
    <font>
      <b val="true"/>
      <sz val="22"/>
      <color rgb="FF107C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1B1B"/>
        <bgColor rgb="FF003300"/>
      </patternFill>
    </fill>
    <fill>
      <patternFill patternType="solid">
        <fgColor rgb="FFFFF8C4"/>
        <bgColor rgb="FFFFFF99"/>
      </patternFill>
    </fill>
    <fill>
      <patternFill patternType="solid">
        <fgColor rgb="FFF2F4F2"/>
        <bgColor rgb="FFFFFFFF"/>
      </patternFill>
    </fill>
    <fill>
      <patternFill patternType="solid">
        <fgColor rgb="FF107C1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07C10"/>
      </left>
      <right style="thin">
        <color rgb="FF107C10"/>
      </right>
      <top style="thin">
        <color rgb="FF107C10"/>
      </top>
      <bottom style="thin">
        <color rgb="FF107C10"/>
      </bottom>
      <diagonal/>
    </border>
    <border diagonalUp="false" diagonalDown="false">
      <left style="medium">
        <color rgb="FFFFFFFF"/>
      </left>
      <right style="medium">
        <color rgb="FFFFFFFF"/>
      </right>
      <top style="thick">
        <color rgb="FF107C10"/>
      </top>
      <bottom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7C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9BDB9B"/>
      <rgbColor rgb="FF878787"/>
      <rgbColor rgb="FF9999FF"/>
      <rgbColor rgb="FF993366"/>
      <rgbColor rgb="FFFFF8C4"/>
      <rgbColor rgb="FFF2F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B1B1B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mês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Dados!C5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28080">
              <a:solidFill>
                <a:srgbClr val="107c10"/>
              </a:solidFill>
              <a:round/>
            </a:ln>
          </c:spPr>
          <c:marker>
            <c:symbol val="circle"/>
            <c:size val="6"/>
            <c:spPr>
              <a:solidFill>
                <a:srgbClr val="107c1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Dados!$B$6:$B$17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Dados!$C$6:$C$17</c:f>
              <c:numCache>
                <c:formatCode>"R$ "#,##0</c:formatCode>
                <c:ptCount val="12"/>
                <c:pt idx="0">
                  <c:v>102614</c:v>
                </c:pt>
                <c:pt idx="1">
                  <c:v>113064</c:v>
                </c:pt>
                <c:pt idx="2">
                  <c:v>81198</c:v>
                </c:pt>
                <c:pt idx="3">
                  <c:v>104811</c:v>
                </c:pt>
                <c:pt idx="4">
                  <c:v>89466</c:v>
                </c:pt>
                <c:pt idx="5">
                  <c:v>74260</c:v>
                </c:pt>
                <c:pt idx="6">
                  <c:v>74312</c:v>
                </c:pt>
                <c:pt idx="7">
                  <c:v>97366</c:v>
                </c:pt>
                <c:pt idx="8">
                  <c:v>69781</c:v>
                </c:pt>
                <c:pt idx="9">
                  <c:v>93012</c:v>
                </c:pt>
                <c:pt idx="10">
                  <c:v>49885</c:v>
                </c:pt>
                <c:pt idx="11">
                  <c:v>53814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238874"/>
        <c:axId val="19655721"/>
      </c:lineChart>
      <c:catAx>
        <c:axId val="56238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55721"/>
        <c:crosses val="autoZero"/>
        <c:auto val="1"/>
        <c:lblAlgn val="ctr"/>
        <c:lblOffset val="100"/>
        <c:noMultiLvlLbl val="0"/>
      </c:catAx>
      <c:valAx>
        <c:axId val="19655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38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produto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Dados!G5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07c10"/>
            </a:solidFill>
            <a:ln w="0">
              <a:solidFill>
                <a:srgbClr val="107c1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Dados!$F$6:$F$11</c:f>
              <c:strCache>
                <c:ptCount val="6"/>
                <c:pt idx="0">
                  <c:v>Console Xbox Series X</c:v>
                </c:pt>
                <c:pt idx="1">
                  <c:v>Console Xbox Series S</c:v>
                </c:pt>
                <c:pt idx="2">
                  <c:v>Controle Sem Fio</c:v>
                </c:pt>
                <c:pt idx="3">
                  <c:v>Headset Xbox</c:v>
                </c:pt>
                <c:pt idx="4">
                  <c:v>Game Pass Ultimate (3 meses)</c:v>
                </c:pt>
                <c:pt idx="5">
                  <c:v>Cartão Presente R$100</c:v>
                </c:pt>
              </c:strCache>
            </c:strRef>
          </c:cat>
          <c:val>
            <c:numRef>
              <c:f>Dados!$G$6:$G$11</c:f>
              <c:numCache>
                <c:formatCode>"R$ "#,##0</c:formatCode>
                <c:ptCount val="6"/>
                <c:pt idx="0">
                  <c:v>310431</c:v>
                </c:pt>
                <c:pt idx="1">
                  <c:v>330282</c:v>
                </c:pt>
                <c:pt idx="2">
                  <c:v>199356</c:v>
                </c:pt>
                <c:pt idx="3">
                  <c:v>87375</c:v>
                </c:pt>
                <c:pt idx="4">
                  <c:v>46339</c:v>
                </c:pt>
                <c:pt idx="5">
                  <c:v>29800</c:v>
                </c:pt>
              </c:numCache>
            </c:numRef>
          </c:val>
        </c:ser>
        <c:gapWidth val="150"/>
        <c:overlap val="0"/>
        <c:axId val="48600469"/>
        <c:axId val="2079480"/>
      </c:barChart>
      <c:catAx>
        <c:axId val="486004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9480"/>
        <c:crosses val="autoZero"/>
        <c:auto val="1"/>
        <c:lblAlgn val="ctr"/>
        <c:lblOffset val="100"/>
        <c:noMultiLvlLbl val="0"/>
      </c:catAx>
      <c:valAx>
        <c:axId val="2079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004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região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Dados!K5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3a3a3a"/>
            </a:solidFill>
            <a:ln w="0">
              <a:solidFill>
                <a:srgbClr val="3a3a3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Dados!$J$6:$J$10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Dados!$K$6:$K$10</c:f>
              <c:numCache>
                <c:formatCode>"R$ "#,##0</c:formatCode>
                <c:ptCount val="5"/>
                <c:pt idx="0">
                  <c:v>34297</c:v>
                </c:pt>
                <c:pt idx="1">
                  <c:v>236967</c:v>
                </c:pt>
                <c:pt idx="2">
                  <c:v>130570</c:v>
                </c:pt>
                <c:pt idx="3">
                  <c:v>423154</c:v>
                </c:pt>
                <c:pt idx="4">
                  <c:v>178595</c:v>
                </c:pt>
              </c:numCache>
            </c:numRef>
          </c:val>
        </c:ser>
        <c:gapWidth val="150"/>
        <c:overlap val="0"/>
        <c:axId val="15652603"/>
        <c:axId val="80118401"/>
      </c:barChart>
      <c:catAx>
        <c:axId val="15652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18401"/>
        <c:crosses val="autoZero"/>
        <c:auto val="1"/>
        <c:lblAlgn val="ctr"/>
        <c:lblOffset val="100"/>
        <c:noMultiLvlLbl val="0"/>
      </c:catAx>
      <c:valAx>
        <c:axId val="80118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526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Dados!N5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7c1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a3a3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db9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Dados!$M$6:$M$8</c:f>
              <c:strCache>
                <c:ptCount val="3"/>
                <c:pt idx="0">
                  <c:v>Loja Online</c:v>
                </c:pt>
                <c:pt idx="1">
                  <c:v>Loja Física</c:v>
                </c:pt>
                <c:pt idx="2">
                  <c:v>Marketplace</c:v>
                </c:pt>
              </c:strCache>
            </c:strRef>
          </c:cat>
          <c:val>
            <c:numRef>
              <c:f>Dados!$N$6:$N$8</c:f>
              <c:numCache>
                <c:formatCode>"R$ "#,##0</c:formatCode>
                <c:ptCount val="3"/>
                <c:pt idx="0">
                  <c:v>438889</c:v>
                </c:pt>
                <c:pt idx="1">
                  <c:v>287263</c:v>
                </c:pt>
                <c:pt idx="2">
                  <c:v>277431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6</xdr:col>
      <xdr:colOff>731160</xdr:colOff>
      <xdr:row>22</xdr:row>
      <xdr:rowOff>115200</xdr:rowOff>
    </xdr:to>
    <xdr:graphicFrame>
      <xdr:nvGraphicFramePr>
        <xdr:cNvPr id="0" name="Chart 1"/>
        <xdr:cNvGraphicFramePr/>
      </xdr:nvGraphicFramePr>
      <xdr:xfrm>
        <a:off x="141120" y="216216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731160</xdr:colOff>
      <xdr:row>22</xdr:row>
      <xdr:rowOff>115200</xdr:rowOff>
    </xdr:to>
    <xdr:graphicFrame>
      <xdr:nvGraphicFramePr>
        <xdr:cNvPr id="1" name="Chart 2"/>
        <xdr:cNvGraphicFramePr/>
      </xdr:nvGraphicFramePr>
      <xdr:xfrm>
        <a:off x="4793040" y="216216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731160</xdr:colOff>
      <xdr:row>37</xdr:row>
      <xdr:rowOff>115200</xdr:rowOff>
    </xdr:to>
    <xdr:graphicFrame>
      <xdr:nvGraphicFramePr>
        <xdr:cNvPr id="2" name="Chart 3"/>
        <xdr:cNvGraphicFramePr/>
      </xdr:nvGraphicFramePr>
      <xdr:xfrm>
        <a:off x="141120" y="501984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731160</xdr:colOff>
      <xdr:row>37</xdr:row>
      <xdr:rowOff>115200</xdr:rowOff>
    </xdr:to>
    <xdr:graphicFrame>
      <xdr:nvGraphicFramePr>
        <xdr:cNvPr id="3" name="Chart 4"/>
        <xdr:cNvGraphicFramePr/>
      </xdr:nvGraphicFramePr>
      <xdr:xfrm>
        <a:off x="4793040" y="501984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7C10"/>
    <pageSetUpPr fitToPage="true"/>
  </sheetPr>
  <dimension ref="A1:N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"/>
    <col collapsed="false" customWidth="true" hidden="false" outlineLevel="0" max="14" min="14" style="0" width="2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customFormat="false" ht="18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4" customFormat="false" ht="15" hidden="false" customHeight="false" outlineLevel="0" collapsed="false">
      <c r="B4" s="4" t="s">
        <v>2</v>
      </c>
      <c r="C4" s="5" t="s">
        <v>3</v>
      </c>
      <c r="E4" s="4" t="s">
        <v>4</v>
      </c>
      <c r="F4" s="5" t="s">
        <v>3</v>
      </c>
      <c r="H4" s="6" t="s">
        <v>5</v>
      </c>
    </row>
    <row r="6" customFormat="false" ht="19.5" hidden="false" customHeight="true" outlineLevel="0" collapsed="false">
      <c r="B6" s="7" t="s">
        <v>6</v>
      </c>
      <c r="C6" s="7"/>
      <c r="D6" s="7"/>
      <c r="E6" s="7" t="s">
        <v>7</v>
      </c>
      <c r="F6" s="7"/>
      <c r="G6" s="7"/>
      <c r="H6" s="7" t="s">
        <v>8</v>
      </c>
      <c r="I6" s="7"/>
      <c r="J6" s="7"/>
      <c r="K6" s="7" t="s">
        <v>9</v>
      </c>
      <c r="L6" s="7"/>
      <c r="M6" s="7"/>
    </row>
    <row r="7" customFormat="false" ht="19.5" hidden="false" customHeight="true" outlineLevel="0" collapsed="false">
      <c r="B7" s="8" t="n">
        <f aca="false">Dados!Q6</f>
        <v>1003583</v>
      </c>
      <c r="C7" s="8"/>
      <c r="D7" s="8"/>
      <c r="E7" s="8" t="n">
        <f aca="false">Dados!Q8</f>
        <v>308359</v>
      </c>
      <c r="F7" s="8"/>
      <c r="G7" s="8"/>
      <c r="H7" s="9" t="n">
        <f aca="false">Dados!Q9</f>
        <v>0.307258094248308</v>
      </c>
      <c r="I7" s="9"/>
      <c r="J7" s="9"/>
      <c r="K7" s="8" t="n">
        <f aca="false">Dados!Q11</f>
        <v>1672.63833333333</v>
      </c>
      <c r="L7" s="8"/>
      <c r="M7" s="8"/>
    </row>
    <row r="8" customFormat="false" ht="19.5" hidden="false" customHeight="true" outlineLevel="0" collapsed="false">
      <c r="B8" s="8"/>
      <c r="C8" s="8"/>
      <c r="D8" s="8"/>
      <c r="E8" s="8"/>
      <c r="F8" s="8"/>
      <c r="G8" s="8"/>
      <c r="H8" s="9"/>
      <c r="I8" s="9"/>
      <c r="J8" s="9"/>
      <c r="K8" s="8"/>
      <c r="L8" s="8"/>
      <c r="M8" s="8"/>
    </row>
    <row r="40" customFormat="false" ht="15" hidden="false" customHeight="false" outlineLevel="0" collapsed="false">
      <c r="B40" s="10" t="s">
        <v>10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customFormat="false" ht="15" hidden="false" customHeight="false" outlineLevel="0" collapsed="false">
      <c r="B41" s="11" t="str">
        <f aca="false">"Produto líder: "&amp;Dados!Q12&amp;" — "&amp;TEXT(Dados!Q13,"0.0%")&amp;" da receita"</f>
        <v>Produto líder: Console Xbox Series S — 32.9% da receita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customFormat="false" ht="15" hidden="false" customHeight="false" outlineLevel="0" collapsed="false">
      <c r="B42" s="11" t="str">
        <f aca="false">"Melhor mês: "&amp;Dados!Q14</f>
        <v>Melhor mês: Fev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5" hidden="false" customHeight="false" outlineLevel="0" collapsed="false">
      <c r="B43" s="11" t="str">
        <f aca="false">"Região líder: "&amp;Dados!Q15</f>
        <v>Região líder: Sudeste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15" hidden="false" customHeight="false" outlineLevel="0" collapsed="false">
      <c r="B44" s="11" t="str">
        <f aca="false">"Canal líder: "&amp;Dados!Q16</f>
        <v>Canal líder: Loja Online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customFormat="false" ht="15" hidden="false" customHeight="false" outlineLevel="0" collapsed="false">
      <c r="B45" s="11" t="str">
        <f aca="false">"Unidades vendidas: "&amp;TEXT(Dados!Q7,"#,##0")&amp;" em "&amp;TEXT(Dados!Q10,"#,##0")&amp;" pedidos"</f>
        <v>Unidades vendidas: 1,365 em 600 pedidos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7" customFormat="false" ht="15" hidden="false" customHeight="false" outlineLevel="0" collapsed="false">
      <c r="B47" s="12" t="s">
        <v>11</v>
      </c>
    </row>
  </sheetData>
  <mergeCells count="16">
    <mergeCell ref="B1:M1"/>
    <mergeCell ref="B2:M2"/>
    <mergeCell ref="B6:D6"/>
    <mergeCell ref="E6:G6"/>
    <mergeCell ref="H6:J6"/>
    <mergeCell ref="K6:M6"/>
    <mergeCell ref="B7:D8"/>
    <mergeCell ref="E7:G8"/>
    <mergeCell ref="H7:J8"/>
    <mergeCell ref="K7:M8"/>
    <mergeCell ref="B40:M40"/>
    <mergeCell ref="B41:M41"/>
    <mergeCell ref="B42:M42"/>
    <mergeCell ref="B43:M43"/>
    <mergeCell ref="B44:M44"/>
    <mergeCell ref="B45:M45"/>
  </mergeCells>
  <dataValidations count="2">
    <dataValidation allowBlank="false" errorStyle="stop" operator="between" showDropDown="false" showErrorMessage="false" showInputMessage="false" sqref="C4" type="list">
      <formula1>"Todos,2024,2025"</formula1>
      <formula2>0</formula2>
    </dataValidation>
    <dataValidation allowBlank="false" errorStyle="stop" operator="between" showDropDown="false" showErrorMessage="false" showInputMessage="false" sqref="F4" type="list">
      <formula1>"Todos,Norte,Nordeste,Centro-Oeste,Sudeste,Sul"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8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3" min="10" style="0" width="16"/>
    <col collapsed="false" customWidth="true" hidden="false" outlineLevel="0" max="15" min="15" style="0" width="70"/>
  </cols>
  <sheetData>
    <row r="1" customFormat="false" ht="31.5" hidden="false" customHeight="true" outlineLevel="0" collapsed="false">
      <c r="A1" s="13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3" t="s">
        <v>22</v>
      </c>
      <c r="L1" s="13" t="s">
        <v>23</v>
      </c>
      <c r="M1" s="13" t="s">
        <v>24</v>
      </c>
      <c r="O1" s="14" t="s">
        <v>25</v>
      </c>
    </row>
    <row r="2" customFormat="false" ht="22.35" hidden="false" customHeight="false" outlineLevel="0" collapsed="false">
      <c r="A2" s="15" t="s">
        <v>26</v>
      </c>
      <c r="B2" s="16" t="n">
        <v>45623</v>
      </c>
      <c r="C2" s="17" t="n">
        <f aca="false">YEAR(B2)</f>
        <v>2024</v>
      </c>
      <c r="D2" s="17" t="n">
        <f aca="false">MONTH(B2)</f>
        <v>11</v>
      </c>
      <c r="E2" s="15" t="s">
        <v>27</v>
      </c>
      <c r="F2" s="15" t="s">
        <v>28</v>
      </c>
      <c r="G2" s="15" t="s">
        <v>29</v>
      </c>
      <c r="H2" s="15" t="s">
        <v>30</v>
      </c>
      <c r="I2" s="15" t="n">
        <v>4</v>
      </c>
      <c r="J2" s="18" t="n">
        <v>100</v>
      </c>
      <c r="K2" s="18" t="n">
        <v>88</v>
      </c>
      <c r="L2" s="19" t="n">
        <f aca="false">I2*J2</f>
        <v>400</v>
      </c>
      <c r="M2" s="19" t="n">
        <f aca="false">L2-I2*K2</f>
        <v>48</v>
      </c>
      <c r="O2" s="20" t="s">
        <v>31</v>
      </c>
    </row>
    <row r="3" customFormat="false" ht="15" hidden="false" customHeight="false" outlineLevel="0" collapsed="false">
      <c r="A3" s="15" t="s">
        <v>32</v>
      </c>
      <c r="B3" s="16" t="n">
        <v>45840</v>
      </c>
      <c r="C3" s="17" t="n">
        <f aca="false">YEAR(B3)</f>
        <v>2025</v>
      </c>
      <c r="D3" s="17" t="n">
        <f aca="false">MONTH(B3)</f>
        <v>7</v>
      </c>
      <c r="E3" s="15" t="s">
        <v>33</v>
      </c>
      <c r="F3" s="15" t="s">
        <v>34</v>
      </c>
      <c r="G3" s="15" t="s">
        <v>35</v>
      </c>
      <c r="H3" s="15" t="s">
        <v>30</v>
      </c>
      <c r="I3" s="15" t="n">
        <v>1</v>
      </c>
      <c r="J3" s="18" t="n">
        <v>2799</v>
      </c>
      <c r="K3" s="18" t="n">
        <v>2100</v>
      </c>
      <c r="L3" s="19" t="n">
        <f aca="false">I3*J3</f>
        <v>2799</v>
      </c>
      <c r="M3" s="19" t="n">
        <f aca="false">L3-I3*K3</f>
        <v>699</v>
      </c>
    </row>
    <row r="4" customFormat="false" ht="15" hidden="false" customHeight="false" outlineLevel="0" collapsed="false">
      <c r="A4" s="15" t="s">
        <v>36</v>
      </c>
      <c r="B4" s="16" t="n">
        <v>45380</v>
      </c>
      <c r="C4" s="17" t="n">
        <f aca="false">YEAR(B4)</f>
        <v>2024</v>
      </c>
      <c r="D4" s="17" t="n">
        <f aca="false">MONTH(B4)</f>
        <v>3</v>
      </c>
      <c r="E4" s="15" t="s">
        <v>37</v>
      </c>
      <c r="F4" s="15" t="s">
        <v>38</v>
      </c>
      <c r="G4" s="15" t="s">
        <v>39</v>
      </c>
      <c r="H4" s="15" t="s">
        <v>40</v>
      </c>
      <c r="I4" s="15" t="n">
        <v>1</v>
      </c>
      <c r="J4" s="18" t="n">
        <v>449</v>
      </c>
      <c r="K4" s="18" t="n">
        <v>260</v>
      </c>
      <c r="L4" s="19" t="n">
        <f aca="false">I4*J4</f>
        <v>449</v>
      </c>
      <c r="M4" s="19" t="n">
        <f aca="false">L4-I4*K4</f>
        <v>189</v>
      </c>
    </row>
    <row r="5" customFormat="false" ht="15" hidden="false" customHeight="false" outlineLevel="0" collapsed="false">
      <c r="A5" s="15" t="s">
        <v>41</v>
      </c>
      <c r="B5" s="16" t="n">
        <v>45352</v>
      </c>
      <c r="C5" s="17" t="n">
        <f aca="false">YEAR(B5)</f>
        <v>2024</v>
      </c>
      <c r="D5" s="17" t="n">
        <f aca="false">MONTH(B5)</f>
        <v>3</v>
      </c>
      <c r="E5" s="15" t="s">
        <v>27</v>
      </c>
      <c r="F5" s="15" t="s">
        <v>28</v>
      </c>
      <c r="G5" s="15" t="s">
        <v>35</v>
      </c>
      <c r="H5" s="15" t="s">
        <v>40</v>
      </c>
      <c r="I5" s="15" t="n">
        <v>1</v>
      </c>
      <c r="J5" s="18" t="n">
        <v>100</v>
      </c>
      <c r="K5" s="18" t="n">
        <v>88</v>
      </c>
      <c r="L5" s="19" t="n">
        <f aca="false">I5*J5</f>
        <v>100</v>
      </c>
      <c r="M5" s="19" t="n">
        <f aca="false">L5-I5*K5</f>
        <v>12</v>
      </c>
    </row>
    <row r="6" customFormat="false" ht="15" hidden="false" customHeight="false" outlineLevel="0" collapsed="false">
      <c r="A6" s="15" t="s">
        <v>42</v>
      </c>
      <c r="B6" s="16" t="n">
        <v>45888</v>
      </c>
      <c r="C6" s="17" t="n">
        <f aca="false">YEAR(B6)</f>
        <v>2025</v>
      </c>
      <c r="D6" s="17" t="n">
        <f aca="false">MONTH(B6)</f>
        <v>8</v>
      </c>
      <c r="E6" s="15" t="s">
        <v>27</v>
      </c>
      <c r="F6" s="15" t="s">
        <v>28</v>
      </c>
      <c r="G6" s="15" t="s">
        <v>43</v>
      </c>
      <c r="H6" s="15" t="s">
        <v>30</v>
      </c>
      <c r="I6" s="15" t="n">
        <v>4</v>
      </c>
      <c r="J6" s="18" t="n">
        <v>100</v>
      </c>
      <c r="K6" s="18" t="n">
        <v>88</v>
      </c>
      <c r="L6" s="19" t="n">
        <f aca="false">I6*J6</f>
        <v>400</v>
      </c>
      <c r="M6" s="19" t="n">
        <f aca="false">L6-I6*K6</f>
        <v>48</v>
      </c>
    </row>
    <row r="7" customFormat="false" ht="15" hidden="false" customHeight="false" outlineLevel="0" collapsed="false">
      <c r="A7" s="15" t="s">
        <v>44</v>
      </c>
      <c r="B7" s="16" t="n">
        <v>45862</v>
      </c>
      <c r="C7" s="17" t="n">
        <f aca="false">YEAR(B7)</f>
        <v>2025</v>
      </c>
      <c r="D7" s="17" t="n">
        <f aca="false">MONTH(B7)</f>
        <v>7</v>
      </c>
      <c r="E7" s="15" t="s">
        <v>27</v>
      </c>
      <c r="F7" s="15" t="s">
        <v>28</v>
      </c>
      <c r="G7" s="15" t="s">
        <v>29</v>
      </c>
      <c r="H7" s="15" t="s">
        <v>40</v>
      </c>
      <c r="I7" s="15" t="n">
        <v>3</v>
      </c>
      <c r="J7" s="18" t="n">
        <v>100</v>
      </c>
      <c r="K7" s="18" t="n">
        <v>88</v>
      </c>
      <c r="L7" s="19" t="n">
        <f aca="false">I7*J7</f>
        <v>300</v>
      </c>
      <c r="M7" s="19" t="n">
        <f aca="false">L7-I7*K7</f>
        <v>36</v>
      </c>
    </row>
    <row r="8" customFormat="false" ht="15" hidden="false" customHeight="false" outlineLevel="0" collapsed="false">
      <c r="A8" s="15" t="s">
        <v>45</v>
      </c>
      <c r="B8" s="16" t="n">
        <v>45876</v>
      </c>
      <c r="C8" s="17" t="n">
        <f aca="false">YEAR(B8)</f>
        <v>2025</v>
      </c>
      <c r="D8" s="17" t="n">
        <f aca="false">MONTH(B8)</f>
        <v>8</v>
      </c>
      <c r="E8" s="15" t="s">
        <v>37</v>
      </c>
      <c r="F8" s="15" t="s">
        <v>38</v>
      </c>
      <c r="G8" s="15" t="s">
        <v>39</v>
      </c>
      <c r="H8" s="15" t="s">
        <v>40</v>
      </c>
      <c r="I8" s="15" t="n">
        <v>2</v>
      </c>
      <c r="J8" s="18" t="n">
        <v>449</v>
      </c>
      <c r="K8" s="18" t="n">
        <v>260</v>
      </c>
      <c r="L8" s="19" t="n">
        <f aca="false">I8*J8</f>
        <v>898</v>
      </c>
      <c r="M8" s="19" t="n">
        <f aca="false">L8-I8*K8</f>
        <v>378</v>
      </c>
    </row>
    <row r="9" customFormat="false" ht="15" hidden="false" customHeight="false" outlineLevel="0" collapsed="false">
      <c r="A9" s="15" t="s">
        <v>46</v>
      </c>
      <c r="B9" s="16" t="n">
        <v>45484</v>
      </c>
      <c r="C9" s="17" t="n">
        <f aca="false">YEAR(B9)</f>
        <v>2024</v>
      </c>
      <c r="D9" s="17" t="n">
        <f aca="false">MONTH(B9)</f>
        <v>7</v>
      </c>
      <c r="E9" s="15" t="s">
        <v>37</v>
      </c>
      <c r="F9" s="15" t="s">
        <v>38</v>
      </c>
      <c r="G9" s="15" t="s">
        <v>29</v>
      </c>
      <c r="H9" s="15" t="s">
        <v>40</v>
      </c>
      <c r="I9" s="15" t="n">
        <v>1</v>
      </c>
      <c r="J9" s="18" t="n">
        <v>449</v>
      </c>
      <c r="K9" s="18" t="n">
        <v>260</v>
      </c>
      <c r="L9" s="19" t="n">
        <f aca="false">I9*J9</f>
        <v>449</v>
      </c>
      <c r="M9" s="19" t="n">
        <f aca="false">L9-I9*K9</f>
        <v>189</v>
      </c>
    </row>
    <row r="10" customFormat="false" ht="15" hidden="false" customHeight="false" outlineLevel="0" collapsed="false">
      <c r="A10" s="15" t="s">
        <v>47</v>
      </c>
      <c r="B10" s="16" t="n">
        <v>45800</v>
      </c>
      <c r="C10" s="17" t="n">
        <f aca="false">YEAR(B10)</f>
        <v>2025</v>
      </c>
      <c r="D10" s="17" t="n">
        <f aca="false">MONTH(B10)</f>
        <v>5</v>
      </c>
      <c r="E10" s="15" t="s">
        <v>48</v>
      </c>
      <c r="F10" s="15" t="s">
        <v>28</v>
      </c>
      <c r="G10" s="15" t="s">
        <v>29</v>
      </c>
      <c r="H10" s="15" t="s">
        <v>40</v>
      </c>
      <c r="I10" s="15" t="n">
        <v>4</v>
      </c>
      <c r="J10" s="18" t="n">
        <v>149</v>
      </c>
      <c r="K10" s="18" t="n">
        <v>60</v>
      </c>
      <c r="L10" s="19" t="n">
        <f aca="false">I10*J10</f>
        <v>596</v>
      </c>
      <c r="M10" s="19" t="n">
        <f aca="false">L10-I10*K10</f>
        <v>356</v>
      </c>
    </row>
    <row r="11" customFormat="false" ht="15" hidden="false" customHeight="false" outlineLevel="0" collapsed="false">
      <c r="A11" s="15" t="s">
        <v>49</v>
      </c>
      <c r="B11" s="16" t="n">
        <v>45756</v>
      </c>
      <c r="C11" s="17" t="n">
        <f aca="false">YEAR(B11)</f>
        <v>2025</v>
      </c>
      <c r="D11" s="17" t="n">
        <f aca="false">MONTH(B11)</f>
        <v>4</v>
      </c>
      <c r="E11" s="15" t="s">
        <v>37</v>
      </c>
      <c r="F11" s="15" t="s">
        <v>38</v>
      </c>
      <c r="G11" s="15" t="s">
        <v>29</v>
      </c>
      <c r="H11" s="15" t="s">
        <v>50</v>
      </c>
      <c r="I11" s="15" t="n">
        <v>2</v>
      </c>
      <c r="J11" s="18" t="n">
        <v>449</v>
      </c>
      <c r="K11" s="18" t="n">
        <v>260</v>
      </c>
      <c r="L11" s="19" t="n">
        <f aca="false">I11*J11</f>
        <v>898</v>
      </c>
      <c r="M11" s="19" t="n">
        <f aca="false">L11-I11*K11</f>
        <v>378</v>
      </c>
    </row>
    <row r="12" customFormat="false" ht="15" hidden="false" customHeight="false" outlineLevel="0" collapsed="false">
      <c r="A12" s="15" t="s">
        <v>51</v>
      </c>
      <c r="B12" s="16" t="n">
        <v>45541</v>
      </c>
      <c r="C12" s="17" t="n">
        <f aca="false">YEAR(B12)</f>
        <v>2024</v>
      </c>
      <c r="D12" s="17" t="n">
        <f aca="false">MONTH(B12)</f>
        <v>9</v>
      </c>
      <c r="E12" s="15" t="s">
        <v>33</v>
      </c>
      <c r="F12" s="15" t="s">
        <v>34</v>
      </c>
      <c r="G12" s="15" t="s">
        <v>29</v>
      </c>
      <c r="H12" s="15" t="s">
        <v>50</v>
      </c>
      <c r="I12" s="15" t="n">
        <v>2</v>
      </c>
      <c r="J12" s="18" t="n">
        <v>2799</v>
      </c>
      <c r="K12" s="18" t="n">
        <v>2100</v>
      </c>
      <c r="L12" s="19" t="n">
        <f aca="false">I12*J12</f>
        <v>5598</v>
      </c>
      <c r="M12" s="19" t="n">
        <f aca="false">L12-I12*K12</f>
        <v>1398</v>
      </c>
    </row>
    <row r="13" customFormat="false" ht="15" hidden="false" customHeight="false" outlineLevel="0" collapsed="false">
      <c r="A13" s="15" t="s">
        <v>52</v>
      </c>
      <c r="B13" s="16" t="n">
        <v>45751</v>
      </c>
      <c r="C13" s="17" t="n">
        <f aca="false">YEAR(B13)</f>
        <v>2025</v>
      </c>
      <c r="D13" s="17" t="n">
        <f aca="false">MONTH(B13)</f>
        <v>4</v>
      </c>
      <c r="E13" s="15" t="s">
        <v>37</v>
      </c>
      <c r="F13" s="15" t="s">
        <v>38</v>
      </c>
      <c r="G13" s="15" t="s">
        <v>39</v>
      </c>
      <c r="H13" s="15" t="s">
        <v>40</v>
      </c>
      <c r="I13" s="15" t="n">
        <v>1</v>
      </c>
      <c r="J13" s="18" t="n">
        <v>449</v>
      </c>
      <c r="K13" s="18" t="n">
        <v>260</v>
      </c>
      <c r="L13" s="19" t="n">
        <f aca="false">I13*J13</f>
        <v>449</v>
      </c>
      <c r="M13" s="19" t="n">
        <f aca="false">L13-I13*K13</f>
        <v>189</v>
      </c>
    </row>
    <row r="14" customFormat="false" ht="15" hidden="false" customHeight="false" outlineLevel="0" collapsed="false">
      <c r="A14" s="15" t="s">
        <v>53</v>
      </c>
      <c r="B14" s="16" t="n">
        <v>45642</v>
      </c>
      <c r="C14" s="17" t="n">
        <f aca="false">YEAR(B14)</f>
        <v>2024</v>
      </c>
      <c r="D14" s="17" t="n">
        <f aca="false">MONTH(B14)</f>
        <v>12</v>
      </c>
      <c r="E14" s="15" t="s">
        <v>33</v>
      </c>
      <c r="F14" s="15" t="s">
        <v>34</v>
      </c>
      <c r="G14" s="15" t="s">
        <v>29</v>
      </c>
      <c r="H14" s="15" t="s">
        <v>50</v>
      </c>
      <c r="I14" s="15" t="n">
        <v>2</v>
      </c>
      <c r="J14" s="18" t="n">
        <v>2799</v>
      </c>
      <c r="K14" s="18" t="n">
        <v>2100</v>
      </c>
      <c r="L14" s="19" t="n">
        <f aca="false">I14*J14</f>
        <v>5598</v>
      </c>
      <c r="M14" s="19" t="n">
        <f aca="false">L14-I14*K14</f>
        <v>1398</v>
      </c>
    </row>
    <row r="15" customFormat="false" ht="15" hidden="false" customHeight="false" outlineLevel="0" collapsed="false">
      <c r="A15" s="15" t="s">
        <v>54</v>
      </c>
      <c r="B15" s="16" t="n">
        <v>45371</v>
      </c>
      <c r="C15" s="17" t="n">
        <f aca="false">YEAR(B15)</f>
        <v>2024</v>
      </c>
      <c r="D15" s="17" t="n">
        <f aca="false">MONTH(B15)</f>
        <v>3</v>
      </c>
      <c r="E15" s="15" t="s">
        <v>48</v>
      </c>
      <c r="F15" s="15" t="s">
        <v>28</v>
      </c>
      <c r="G15" s="15" t="s">
        <v>55</v>
      </c>
      <c r="H15" s="15" t="s">
        <v>30</v>
      </c>
      <c r="I15" s="15" t="n">
        <v>3</v>
      </c>
      <c r="J15" s="18" t="n">
        <v>149</v>
      </c>
      <c r="K15" s="18" t="n">
        <v>60</v>
      </c>
      <c r="L15" s="19" t="n">
        <f aca="false">I15*J15</f>
        <v>447</v>
      </c>
      <c r="M15" s="19" t="n">
        <f aca="false">L15-I15*K15</f>
        <v>267</v>
      </c>
    </row>
    <row r="16" customFormat="false" ht="15" hidden="false" customHeight="false" outlineLevel="0" collapsed="false">
      <c r="A16" s="15" t="s">
        <v>56</v>
      </c>
      <c r="B16" s="16" t="n">
        <v>45800</v>
      </c>
      <c r="C16" s="17" t="n">
        <f aca="false">YEAR(B16)</f>
        <v>2025</v>
      </c>
      <c r="D16" s="17" t="n">
        <f aca="false">MONTH(B16)</f>
        <v>5</v>
      </c>
      <c r="E16" s="15" t="s">
        <v>57</v>
      </c>
      <c r="F16" s="15" t="s">
        <v>38</v>
      </c>
      <c r="G16" s="15" t="s">
        <v>39</v>
      </c>
      <c r="H16" s="15" t="s">
        <v>30</v>
      </c>
      <c r="I16" s="15" t="n">
        <v>4</v>
      </c>
      <c r="J16" s="18" t="n">
        <v>699</v>
      </c>
      <c r="K16" s="18" t="n">
        <v>420</v>
      </c>
      <c r="L16" s="19" t="n">
        <f aca="false">I16*J16</f>
        <v>2796</v>
      </c>
      <c r="M16" s="19" t="n">
        <f aca="false">L16-I16*K16</f>
        <v>1116</v>
      </c>
    </row>
    <row r="17" customFormat="false" ht="15" hidden="false" customHeight="false" outlineLevel="0" collapsed="false">
      <c r="A17" s="15" t="s">
        <v>58</v>
      </c>
      <c r="B17" s="16" t="n">
        <v>45568</v>
      </c>
      <c r="C17" s="17" t="n">
        <f aca="false">YEAR(B17)</f>
        <v>2024</v>
      </c>
      <c r="D17" s="17" t="n">
        <f aca="false">MONTH(B17)</f>
        <v>10</v>
      </c>
      <c r="E17" s="15" t="s">
        <v>37</v>
      </c>
      <c r="F17" s="15" t="s">
        <v>38</v>
      </c>
      <c r="G17" s="15" t="s">
        <v>43</v>
      </c>
      <c r="H17" s="15" t="s">
        <v>50</v>
      </c>
      <c r="I17" s="15" t="n">
        <v>1</v>
      </c>
      <c r="J17" s="18" t="n">
        <v>449</v>
      </c>
      <c r="K17" s="18" t="n">
        <v>260</v>
      </c>
      <c r="L17" s="19" t="n">
        <f aca="false">I17*J17</f>
        <v>449</v>
      </c>
      <c r="M17" s="19" t="n">
        <f aca="false">L17-I17*K17</f>
        <v>189</v>
      </c>
    </row>
    <row r="18" customFormat="false" ht="15" hidden="false" customHeight="false" outlineLevel="0" collapsed="false">
      <c r="A18" s="15" t="s">
        <v>59</v>
      </c>
      <c r="B18" s="16" t="n">
        <v>45954</v>
      </c>
      <c r="C18" s="17" t="n">
        <f aca="false">YEAR(B18)</f>
        <v>2025</v>
      </c>
      <c r="D18" s="17" t="n">
        <f aca="false">MONTH(B18)</f>
        <v>10</v>
      </c>
      <c r="E18" s="15" t="s">
        <v>57</v>
      </c>
      <c r="F18" s="15" t="s">
        <v>38</v>
      </c>
      <c r="G18" s="15" t="s">
        <v>55</v>
      </c>
      <c r="H18" s="15" t="s">
        <v>30</v>
      </c>
      <c r="I18" s="15" t="n">
        <v>4</v>
      </c>
      <c r="J18" s="18" t="n">
        <v>699</v>
      </c>
      <c r="K18" s="18" t="n">
        <v>420</v>
      </c>
      <c r="L18" s="19" t="n">
        <f aca="false">I18*J18</f>
        <v>2796</v>
      </c>
      <c r="M18" s="19" t="n">
        <f aca="false">L18-I18*K18</f>
        <v>1116</v>
      </c>
    </row>
    <row r="19" customFormat="false" ht="15" hidden="false" customHeight="false" outlineLevel="0" collapsed="false">
      <c r="A19" s="15" t="s">
        <v>60</v>
      </c>
      <c r="B19" s="16" t="n">
        <v>45976</v>
      </c>
      <c r="C19" s="17" t="n">
        <f aca="false">YEAR(B19)</f>
        <v>2025</v>
      </c>
      <c r="D19" s="17" t="n">
        <f aca="false">MONTH(B19)</f>
        <v>11</v>
      </c>
      <c r="E19" s="15" t="s">
        <v>37</v>
      </c>
      <c r="F19" s="15" t="s">
        <v>38</v>
      </c>
      <c r="G19" s="15" t="s">
        <v>55</v>
      </c>
      <c r="H19" s="15" t="s">
        <v>40</v>
      </c>
      <c r="I19" s="15" t="n">
        <v>4</v>
      </c>
      <c r="J19" s="18" t="n">
        <v>449</v>
      </c>
      <c r="K19" s="18" t="n">
        <v>260</v>
      </c>
      <c r="L19" s="19" t="n">
        <f aca="false">I19*J19</f>
        <v>1796</v>
      </c>
      <c r="M19" s="19" t="n">
        <f aca="false">L19-I19*K19</f>
        <v>756</v>
      </c>
    </row>
    <row r="20" customFormat="false" ht="15" hidden="false" customHeight="false" outlineLevel="0" collapsed="false">
      <c r="A20" s="15" t="s">
        <v>61</v>
      </c>
      <c r="B20" s="16" t="n">
        <v>45797</v>
      </c>
      <c r="C20" s="17" t="n">
        <f aca="false">YEAR(B20)</f>
        <v>2025</v>
      </c>
      <c r="D20" s="17" t="n">
        <f aca="false">MONTH(B20)</f>
        <v>5</v>
      </c>
      <c r="E20" s="15" t="s">
        <v>62</v>
      </c>
      <c r="F20" s="15" t="s">
        <v>34</v>
      </c>
      <c r="G20" s="15" t="s">
        <v>39</v>
      </c>
      <c r="H20" s="15" t="s">
        <v>30</v>
      </c>
      <c r="I20" s="15" t="n">
        <v>2</v>
      </c>
      <c r="J20" s="18" t="n">
        <v>4499</v>
      </c>
      <c r="K20" s="18" t="n">
        <v>3400</v>
      </c>
      <c r="L20" s="19" t="n">
        <f aca="false">I20*J20</f>
        <v>8998</v>
      </c>
      <c r="M20" s="19" t="n">
        <f aca="false">L20-I20*K20</f>
        <v>2198</v>
      </c>
    </row>
    <row r="21" customFormat="false" ht="15" hidden="false" customHeight="false" outlineLevel="0" collapsed="false">
      <c r="A21" s="15" t="s">
        <v>63</v>
      </c>
      <c r="B21" s="16" t="n">
        <v>45692</v>
      </c>
      <c r="C21" s="17" t="n">
        <f aca="false">YEAR(B21)</f>
        <v>2025</v>
      </c>
      <c r="D21" s="17" t="n">
        <f aca="false">MONTH(B21)</f>
        <v>2</v>
      </c>
      <c r="E21" s="15" t="s">
        <v>27</v>
      </c>
      <c r="F21" s="15" t="s">
        <v>28</v>
      </c>
      <c r="G21" s="15" t="s">
        <v>39</v>
      </c>
      <c r="H21" s="15" t="s">
        <v>40</v>
      </c>
      <c r="I21" s="15" t="n">
        <v>4</v>
      </c>
      <c r="J21" s="18" t="n">
        <v>100</v>
      </c>
      <c r="K21" s="18" t="n">
        <v>88</v>
      </c>
      <c r="L21" s="19" t="n">
        <f aca="false">I21*J21</f>
        <v>400</v>
      </c>
      <c r="M21" s="19" t="n">
        <f aca="false">L21-I21*K21</f>
        <v>48</v>
      </c>
    </row>
    <row r="22" customFormat="false" ht="15" hidden="false" customHeight="false" outlineLevel="0" collapsed="false">
      <c r="A22" s="15" t="s">
        <v>64</v>
      </c>
      <c r="B22" s="16" t="n">
        <v>45854</v>
      </c>
      <c r="C22" s="17" t="n">
        <f aca="false">YEAR(B22)</f>
        <v>2025</v>
      </c>
      <c r="D22" s="17" t="n">
        <f aca="false">MONTH(B22)</f>
        <v>7</v>
      </c>
      <c r="E22" s="15" t="s">
        <v>37</v>
      </c>
      <c r="F22" s="15" t="s">
        <v>38</v>
      </c>
      <c r="G22" s="15" t="s">
        <v>35</v>
      </c>
      <c r="H22" s="15" t="s">
        <v>50</v>
      </c>
      <c r="I22" s="15" t="n">
        <v>2</v>
      </c>
      <c r="J22" s="18" t="n">
        <v>449</v>
      </c>
      <c r="K22" s="18" t="n">
        <v>260</v>
      </c>
      <c r="L22" s="19" t="n">
        <f aca="false">I22*J22</f>
        <v>898</v>
      </c>
      <c r="M22" s="19" t="n">
        <f aca="false">L22-I22*K22</f>
        <v>378</v>
      </c>
    </row>
    <row r="23" customFormat="false" ht="15" hidden="false" customHeight="false" outlineLevel="0" collapsed="false">
      <c r="A23" s="15" t="s">
        <v>65</v>
      </c>
      <c r="B23" s="16" t="n">
        <v>45577</v>
      </c>
      <c r="C23" s="17" t="n">
        <f aca="false">YEAR(B23)</f>
        <v>2024</v>
      </c>
      <c r="D23" s="17" t="n">
        <f aca="false">MONTH(B23)</f>
        <v>10</v>
      </c>
      <c r="E23" s="15" t="s">
        <v>48</v>
      </c>
      <c r="F23" s="15" t="s">
        <v>28</v>
      </c>
      <c r="G23" s="15" t="s">
        <v>29</v>
      </c>
      <c r="H23" s="15" t="s">
        <v>30</v>
      </c>
      <c r="I23" s="15" t="n">
        <v>3</v>
      </c>
      <c r="J23" s="18" t="n">
        <v>149</v>
      </c>
      <c r="K23" s="18" t="n">
        <v>60</v>
      </c>
      <c r="L23" s="19" t="n">
        <f aca="false">I23*J23</f>
        <v>447</v>
      </c>
      <c r="M23" s="19" t="n">
        <f aca="false">L23-I23*K23</f>
        <v>267</v>
      </c>
    </row>
    <row r="24" customFormat="false" ht="15" hidden="false" customHeight="false" outlineLevel="0" collapsed="false">
      <c r="A24" s="15" t="s">
        <v>66</v>
      </c>
      <c r="B24" s="16" t="n">
        <v>45528</v>
      </c>
      <c r="C24" s="17" t="n">
        <f aca="false">YEAR(B24)</f>
        <v>2024</v>
      </c>
      <c r="D24" s="17" t="n">
        <f aca="false">MONTH(B24)</f>
        <v>8</v>
      </c>
      <c r="E24" s="15" t="s">
        <v>33</v>
      </c>
      <c r="F24" s="15" t="s">
        <v>34</v>
      </c>
      <c r="G24" s="15" t="s">
        <v>39</v>
      </c>
      <c r="H24" s="15" t="s">
        <v>40</v>
      </c>
      <c r="I24" s="15" t="n">
        <v>1</v>
      </c>
      <c r="J24" s="18" t="n">
        <v>2799</v>
      </c>
      <c r="K24" s="18" t="n">
        <v>2100</v>
      </c>
      <c r="L24" s="19" t="n">
        <f aca="false">I24*J24</f>
        <v>2799</v>
      </c>
      <c r="M24" s="19" t="n">
        <f aca="false">L24-I24*K24</f>
        <v>699</v>
      </c>
    </row>
    <row r="25" customFormat="false" ht="15" hidden="false" customHeight="false" outlineLevel="0" collapsed="false">
      <c r="A25" s="15" t="s">
        <v>67</v>
      </c>
      <c r="B25" s="16" t="n">
        <v>45304</v>
      </c>
      <c r="C25" s="17" t="n">
        <f aca="false">YEAR(B25)</f>
        <v>2024</v>
      </c>
      <c r="D25" s="17" t="n">
        <f aca="false">MONTH(B25)</f>
        <v>1</v>
      </c>
      <c r="E25" s="15" t="s">
        <v>37</v>
      </c>
      <c r="F25" s="15" t="s">
        <v>38</v>
      </c>
      <c r="G25" s="15" t="s">
        <v>39</v>
      </c>
      <c r="H25" s="15" t="s">
        <v>30</v>
      </c>
      <c r="I25" s="15" t="n">
        <v>2</v>
      </c>
      <c r="J25" s="18" t="n">
        <v>449</v>
      </c>
      <c r="K25" s="18" t="n">
        <v>260</v>
      </c>
      <c r="L25" s="19" t="n">
        <f aca="false">I25*J25</f>
        <v>898</v>
      </c>
      <c r="M25" s="19" t="n">
        <f aca="false">L25-I25*K25</f>
        <v>378</v>
      </c>
    </row>
    <row r="26" customFormat="false" ht="15" hidden="false" customHeight="false" outlineLevel="0" collapsed="false">
      <c r="A26" s="15" t="s">
        <v>68</v>
      </c>
      <c r="B26" s="16" t="n">
        <v>45721</v>
      </c>
      <c r="C26" s="17" t="n">
        <f aca="false">YEAR(B26)</f>
        <v>2025</v>
      </c>
      <c r="D26" s="17" t="n">
        <f aca="false">MONTH(B26)</f>
        <v>3</v>
      </c>
      <c r="E26" s="15" t="s">
        <v>57</v>
      </c>
      <c r="F26" s="15" t="s">
        <v>38</v>
      </c>
      <c r="G26" s="15" t="s">
        <v>35</v>
      </c>
      <c r="H26" s="15" t="s">
        <v>50</v>
      </c>
      <c r="I26" s="15" t="n">
        <v>3</v>
      </c>
      <c r="J26" s="18" t="n">
        <v>699</v>
      </c>
      <c r="K26" s="18" t="n">
        <v>420</v>
      </c>
      <c r="L26" s="19" t="n">
        <f aca="false">I26*J26</f>
        <v>2097</v>
      </c>
      <c r="M26" s="19" t="n">
        <f aca="false">L26-I26*K26</f>
        <v>837</v>
      </c>
    </row>
    <row r="27" customFormat="false" ht="15" hidden="false" customHeight="false" outlineLevel="0" collapsed="false">
      <c r="A27" s="15" t="s">
        <v>69</v>
      </c>
      <c r="B27" s="16" t="n">
        <v>45819</v>
      </c>
      <c r="C27" s="17" t="n">
        <f aca="false">YEAR(B27)</f>
        <v>2025</v>
      </c>
      <c r="D27" s="17" t="n">
        <f aca="false">MONTH(B27)</f>
        <v>6</v>
      </c>
      <c r="E27" s="15" t="s">
        <v>27</v>
      </c>
      <c r="F27" s="15" t="s">
        <v>28</v>
      </c>
      <c r="G27" s="15" t="s">
        <v>29</v>
      </c>
      <c r="H27" s="15" t="s">
        <v>50</v>
      </c>
      <c r="I27" s="15" t="n">
        <v>1</v>
      </c>
      <c r="J27" s="18" t="n">
        <v>100</v>
      </c>
      <c r="K27" s="18" t="n">
        <v>88</v>
      </c>
      <c r="L27" s="19" t="n">
        <f aca="false">I27*J27</f>
        <v>100</v>
      </c>
      <c r="M27" s="19" t="n">
        <f aca="false">L27-I27*K27</f>
        <v>12</v>
      </c>
    </row>
    <row r="28" customFormat="false" ht="15" hidden="false" customHeight="false" outlineLevel="0" collapsed="false">
      <c r="A28" s="15" t="s">
        <v>70</v>
      </c>
      <c r="B28" s="16" t="n">
        <v>45988</v>
      </c>
      <c r="C28" s="17" t="n">
        <f aca="false">YEAR(B28)</f>
        <v>2025</v>
      </c>
      <c r="D28" s="17" t="n">
        <f aca="false">MONTH(B28)</f>
        <v>11</v>
      </c>
      <c r="E28" s="15" t="s">
        <v>48</v>
      </c>
      <c r="F28" s="15" t="s">
        <v>28</v>
      </c>
      <c r="G28" s="15" t="s">
        <v>55</v>
      </c>
      <c r="H28" s="15" t="s">
        <v>30</v>
      </c>
      <c r="I28" s="15" t="n">
        <v>4</v>
      </c>
      <c r="J28" s="18" t="n">
        <v>149</v>
      </c>
      <c r="K28" s="18" t="n">
        <v>60</v>
      </c>
      <c r="L28" s="19" t="n">
        <f aca="false">I28*J28</f>
        <v>596</v>
      </c>
      <c r="M28" s="19" t="n">
        <f aca="false">L28-I28*K28</f>
        <v>356</v>
      </c>
    </row>
    <row r="29" customFormat="false" ht="15" hidden="false" customHeight="false" outlineLevel="0" collapsed="false">
      <c r="A29" s="15" t="s">
        <v>71</v>
      </c>
      <c r="B29" s="16" t="n">
        <v>45785</v>
      </c>
      <c r="C29" s="17" t="n">
        <f aca="false">YEAR(B29)</f>
        <v>2025</v>
      </c>
      <c r="D29" s="17" t="n">
        <f aca="false">MONTH(B29)</f>
        <v>5</v>
      </c>
      <c r="E29" s="15" t="s">
        <v>48</v>
      </c>
      <c r="F29" s="15" t="s">
        <v>28</v>
      </c>
      <c r="G29" s="15" t="s">
        <v>39</v>
      </c>
      <c r="H29" s="15" t="s">
        <v>50</v>
      </c>
      <c r="I29" s="15" t="n">
        <v>1</v>
      </c>
      <c r="J29" s="18" t="n">
        <v>149</v>
      </c>
      <c r="K29" s="18" t="n">
        <v>60</v>
      </c>
      <c r="L29" s="19" t="n">
        <f aca="false">I29*J29</f>
        <v>149</v>
      </c>
      <c r="M29" s="19" t="n">
        <f aca="false">L29-I29*K29</f>
        <v>89</v>
      </c>
    </row>
    <row r="30" customFormat="false" ht="15" hidden="false" customHeight="false" outlineLevel="0" collapsed="false">
      <c r="A30" s="15" t="s">
        <v>72</v>
      </c>
      <c r="B30" s="16" t="n">
        <v>45743</v>
      </c>
      <c r="C30" s="17" t="n">
        <f aca="false">YEAR(B30)</f>
        <v>2025</v>
      </c>
      <c r="D30" s="17" t="n">
        <f aca="false">MONTH(B30)</f>
        <v>3</v>
      </c>
      <c r="E30" s="15" t="s">
        <v>33</v>
      </c>
      <c r="F30" s="15" t="s">
        <v>34</v>
      </c>
      <c r="G30" s="15" t="s">
        <v>29</v>
      </c>
      <c r="H30" s="15" t="s">
        <v>30</v>
      </c>
      <c r="I30" s="15" t="n">
        <v>2</v>
      </c>
      <c r="J30" s="18" t="n">
        <v>2799</v>
      </c>
      <c r="K30" s="18" t="n">
        <v>2100</v>
      </c>
      <c r="L30" s="19" t="n">
        <f aca="false">I30*J30</f>
        <v>5598</v>
      </c>
      <c r="M30" s="19" t="n">
        <f aca="false">L30-I30*K30</f>
        <v>1398</v>
      </c>
    </row>
    <row r="31" customFormat="false" ht="15" hidden="false" customHeight="false" outlineLevel="0" collapsed="false">
      <c r="A31" s="15" t="s">
        <v>73</v>
      </c>
      <c r="B31" s="16" t="n">
        <v>45872</v>
      </c>
      <c r="C31" s="17" t="n">
        <f aca="false">YEAR(B31)</f>
        <v>2025</v>
      </c>
      <c r="D31" s="17" t="n">
        <f aca="false">MONTH(B31)</f>
        <v>8</v>
      </c>
      <c r="E31" s="15" t="s">
        <v>33</v>
      </c>
      <c r="F31" s="15" t="s">
        <v>34</v>
      </c>
      <c r="G31" s="15" t="s">
        <v>35</v>
      </c>
      <c r="H31" s="15" t="s">
        <v>40</v>
      </c>
      <c r="I31" s="15" t="n">
        <v>1</v>
      </c>
      <c r="J31" s="18" t="n">
        <v>2799</v>
      </c>
      <c r="K31" s="18" t="n">
        <v>2100</v>
      </c>
      <c r="L31" s="19" t="n">
        <f aca="false">I31*J31</f>
        <v>2799</v>
      </c>
      <c r="M31" s="19" t="n">
        <f aca="false">L31-I31*K31</f>
        <v>699</v>
      </c>
    </row>
    <row r="32" customFormat="false" ht="15" hidden="false" customHeight="false" outlineLevel="0" collapsed="false">
      <c r="A32" s="15" t="s">
        <v>74</v>
      </c>
      <c r="B32" s="16" t="n">
        <v>45364</v>
      </c>
      <c r="C32" s="17" t="n">
        <f aca="false">YEAR(B32)</f>
        <v>2024</v>
      </c>
      <c r="D32" s="17" t="n">
        <f aca="false">MONTH(B32)</f>
        <v>3</v>
      </c>
      <c r="E32" s="15" t="s">
        <v>27</v>
      </c>
      <c r="F32" s="15" t="s">
        <v>28</v>
      </c>
      <c r="G32" s="15" t="s">
        <v>39</v>
      </c>
      <c r="H32" s="15" t="s">
        <v>30</v>
      </c>
      <c r="I32" s="15" t="n">
        <v>4</v>
      </c>
      <c r="J32" s="18" t="n">
        <v>100</v>
      </c>
      <c r="K32" s="18" t="n">
        <v>88</v>
      </c>
      <c r="L32" s="19" t="n">
        <f aca="false">I32*J32</f>
        <v>400</v>
      </c>
      <c r="M32" s="19" t="n">
        <f aca="false">L32-I32*K32</f>
        <v>48</v>
      </c>
    </row>
    <row r="33" customFormat="false" ht="15" hidden="false" customHeight="false" outlineLevel="0" collapsed="false">
      <c r="A33" s="15" t="s">
        <v>75</v>
      </c>
      <c r="B33" s="16" t="n">
        <v>45647</v>
      </c>
      <c r="C33" s="17" t="n">
        <f aca="false">YEAR(B33)</f>
        <v>2024</v>
      </c>
      <c r="D33" s="17" t="n">
        <f aca="false">MONTH(B33)</f>
        <v>12</v>
      </c>
      <c r="E33" s="15" t="s">
        <v>57</v>
      </c>
      <c r="F33" s="15" t="s">
        <v>38</v>
      </c>
      <c r="G33" s="15" t="s">
        <v>39</v>
      </c>
      <c r="H33" s="15" t="s">
        <v>50</v>
      </c>
      <c r="I33" s="15" t="n">
        <v>4</v>
      </c>
      <c r="J33" s="18" t="n">
        <v>699</v>
      </c>
      <c r="K33" s="18" t="n">
        <v>420</v>
      </c>
      <c r="L33" s="19" t="n">
        <f aca="false">I33*J33</f>
        <v>2796</v>
      </c>
      <c r="M33" s="19" t="n">
        <f aca="false">L33-I33*K33</f>
        <v>1116</v>
      </c>
    </row>
    <row r="34" customFormat="false" ht="15" hidden="false" customHeight="false" outlineLevel="0" collapsed="false">
      <c r="A34" s="15" t="s">
        <v>76</v>
      </c>
      <c r="B34" s="16" t="n">
        <v>45769</v>
      </c>
      <c r="C34" s="17" t="n">
        <f aca="false">YEAR(B34)</f>
        <v>2025</v>
      </c>
      <c r="D34" s="17" t="n">
        <f aca="false">MONTH(B34)</f>
        <v>4</v>
      </c>
      <c r="E34" s="15" t="s">
        <v>37</v>
      </c>
      <c r="F34" s="15" t="s">
        <v>38</v>
      </c>
      <c r="G34" s="15" t="s">
        <v>39</v>
      </c>
      <c r="H34" s="15" t="s">
        <v>30</v>
      </c>
      <c r="I34" s="15" t="n">
        <v>3</v>
      </c>
      <c r="J34" s="18" t="n">
        <v>449</v>
      </c>
      <c r="K34" s="18" t="n">
        <v>260</v>
      </c>
      <c r="L34" s="19" t="n">
        <f aca="false">I34*J34</f>
        <v>1347</v>
      </c>
      <c r="M34" s="19" t="n">
        <f aca="false">L34-I34*K34</f>
        <v>567</v>
      </c>
    </row>
    <row r="35" customFormat="false" ht="15" hidden="false" customHeight="false" outlineLevel="0" collapsed="false">
      <c r="A35" s="15" t="s">
        <v>77</v>
      </c>
      <c r="B35" s="16" t="n">
        <v>45642</v>
      </c>
      <c r="C35" s="17" t="n">
        <f aca="false">YEAR(B35)</f>
        <v>2024</v>
      </c>
      <c r="D35" s="17" t="n">
        <f aca="false">MONTH(B35)</f>
        <v>12</v>
      </c>
      <c r="E35" s="15" t="s">
        <v>48</v>
      </c>
      <c r="F35" s="15" t="s">
        <v>28</v>
      </c>
      <c r="G35" s="15" t="s">
        <v>35</v>
      </c>
      <c r="H35" s="15" t="s">
        <v>30</v>
      </c>
      <c r="I35" s="15" t="n">
        <v>4</v>
      </c>
      <c r="J35" s="18" t="n">
        <v>149</v>
      </c>
      <c r="K35" s="18" t="n">
        <v>60</v>
      </c>
      <c r="L35" s="19" t="n">
        <f aca="false">I35*J35</f>
        <v>596</v>
      </c>
      <c r="M35" s="19" t="n">
        <f aca="false">L35-I35*K35</f>
        <v>356</v>
      </c>
    </row>
    <row r="36" customFormat="false" ht="15" hidden="false" customHeight="false" outlineLevel="0" collapsed="false">
      <c r="A36" s="15" t="s">
        <v>78</v>
      </c>
      <c r="B36" s="16" t="n">
        <v>45315</v>
      </c>
      <c r="C36" s="17" t="n">
        <f aca="false">YEAR(B36)</f>
        <v>2024</v>
      </c>
      <c r="D36" s="17" t="n">
        <f aca="false">MONTH(B36)</f>
        <v>1</v>
      </c>
      <c r="E36" s="15" t="s">
        <v>33</v>
      </c>
      <c r="F36" s="15" t="s">
        <v>34</v>
      </c>
      <c r="G36" s="15" t="s">
        <v>39</v>
      </c>
      <c r="H36" s="15" t="s">
        <v>40</v>
      </c>
      <c r="I36" s="15" t="n">
        <v>2</v>
      </c>
      <c r="J36" s="18" t="n">
        <v>2799</v>
      </c>
      <c r="K36" s="18" t="n">
        <v>2100</v>
      </c>
      <c r="L36" s="19" t="n">
        <f aca="false">I36*J36</f>
        <v>5598</v>
      </c>
      <c r="M36" s="19" t="n">
        <f aca="false">L36-I36*K36</f>
        <v>1398</v>
      </c>
    </row>
    <row r="37" customFormat="false" ht="15" hidden="false" customHeight="false" outlineLevel="0" collapsed="false">
      <c r="A37" s="15" t="s">
        <v>79</v>
      </c>
      <c r="B37" s="16" t="n">
        <v>45319</v>
      </c>
      <c r="C37" s="17" t="n">
        <f aca="false">YEAR(B37)</f>
        <v>2024</v>
      </c>
      <c r="D37" s="17" t="n">
        <f aca="false">MONTH(B37)</f>
        <v>1</v>
      </c>
      <c r="E37" s="15" t="s">
        <v>48</v>
      </c>
      <c r="F37" s="15" t="s">
        <v>28</v>
      </c>
      <c r="G37" s="15" t="s">
        <v>35</v>
      </c>
      <c r="H37" s="15" t="s">
        <v>50</v>
      </c>
      <c r="I37" s="15" t="n">
        <v>3</v>
      </c>
      <c r="J37" s="18" t="n">
        <v>149</v>
      </c>
      <c r="K37" s="18" t="n">
        <v>60</v>
      </c>
      <c r="L37" s="19" t="n">
        <f aca="false">I37*J37</f>
        <v>447</v>
      </c>
      <c r="M37" s="19" t="n">
        <f aca="false">L37-I37*K37</f>
        <v>267</v>
      </c>
    </row>
    <row r="38" customFormat="false" ht="15" hidden="false" customHeight="false" outlineLevel="0" collapsed="false">
      <c r="A38" s="15" t="s">
        <v>80</v>
      </c>
      <c r="B38" s="16" t="n">
        <v>46004</v>
      </c>
      <c r="C38" s="17" t="n">
        <f aca="false">YEAR(B38)</f>
        <v>2025</v>
      </c>
      <c r="D38" s="17" t="n">
        <f aca="false">MONTH(B38)</f>
        <v>12</v>
      </c>
      <c r="E38" s="15" t="s">
        <v>27</v>
      </c>
      <c r="F38" s="15" t="s">
        <v>28</v>
      </c>
      <c r="G38" s="15" t="s">
        <v>35</v>
      </c>
      <c r="H38" s="15" t="s">
        <v>30</v>
      </c>
      <c r="I38" s="15" t="n">
        <v>3</v>
      </c>
      <c r="J38" s="18" t="n">
        <v>100</v>
      </c>
      <c r="K38" s="18" t="n">
        <v>88</v>
      </c>
      <c r="L38" s="19" t="n">
        <f aca="false">I38*J38</f>
        <v>300</v>
      </c>
      <c r="M38" s="19" t="n">
        <f aca="false">L38-I38*K38</f>
        <v>36</v>
      </c>
    </row>
    <row r="39" customFormat="false" ht="15" hidden="false" customHeight="false" outlineLevel="0" collapsed="false">
      <c r="A39" s="15" t="s">
        <v>81</v>
      </c>
      <c r="B39" s="16" t="n">
        <v>45520</v>
      </c>
      <c r="C39" s="17" t="n">
        <f aca="false">YEAR(B39)</f>
        <v>2024</v>
      </c>
      <c r="D39" s="17" t="n">
        <f aca="false">MONTH(B39)</f>
        <v>8</v>
      </c>
      <c r="E39" s="15" t="s">
        <v>57</v>
      </c>
      <c r="F39" s="15" t="s">
        <v>38</v>
      </c>
      <c r="G39" s="15" t="s">
        <v>29</v>
      </c>
      <c r="H39" s="15" t="s">
        <v>40</v>
      </c>
      <c r="I39" s="15" t="n">
        <v>3</v>
      </c>
      <c r="J39" s="18" t="n">
        <v>699</v>
      </c>
      <c r="K39" s="18" t="n">
        <v>420</v>
      </c>
      <c r="L39" s="19" t="n">
        <f aca="false">I39*J39</f>
        <v>2097</v>
      </c>
      <c r="M39" s="19" t="n">
        <f aca="false">L39-I39*K39</f>
        <v>837</v>
      </c>
    </row>
    <row r="40" customFormat="false" ht="15" hidden="false" customHeight="false" outlineLevel="0" collapsed="false">
      <c r="A40" s="15" t="s">
        <v>82</v>
      </c>
      <c r="B40" s="16" t="n">
        <v>45491</v>
      </c>
      <c r="C40" s="17" t="n">
        <f aca="false">YEAR(B40)</f>
        <v>2024</v>
      </c>
      <c r="D40" s="17" t="n">
        <f aca="false">MONTH(B40)</f>
        <v>7</v>
      </c>
      <c r="E40" s="15" t="s">
        <v>48</v>
      </c>
      <c r="F40" s="15" t="s">
        <v>28</v>
      </c>
      <c r="G40" s="15" t="s">
        <v>29</v>
      </c>
      <c r="H40" s="15" t="s">
        <v>30</v>
      </c>
      <c r="I40" s="15" t="n">
        <v>4</v>
      </c>
      <c r="J40" s="18" t="n">
        <v>149</v>
      </c>
      <c r="K40" s="18" t="n">
        <v>60</v>
      </c>
      <c r="L40" s="19" t="n">
        <f aca="false">I40*J40</f>
        <v>596</v>
      </c>
      <c r="M40" s="19" t="n">
        <f aca="false">L40-I40*K40</f>
        <v>356</v>
      </c>
    </row>
    <row r="41" customFormat="false" ht="15" hidden="false" customHeight="false" outlineLevel="0" collapsed="false">
      <c r="A41" s="15" t="s">
        <v>83</v>
      </c>
      <c r="B41" s="16" t="n">
        <v>45822</v>
      </c>
      <c r="C41" s="17" t="n">
        <f aca="false">YEAR(B41)</f>
        <v>2025</v>
      </c>
      <c r="D41" s="17" t="n">
        <f aca="false">MONTH(B41)</f>
        <v>6</v>
      </c>
      <c r="E41" s="15" t="s">
        <v>37</v>
      </c>
      <c r="F41" s="15" t="s">
        <v>38</v>
      </c>
      <c r="G41" s="15" t="s">
        <v>35</v>
      </c>
      <c r="H41" s="15" t="s">
        <v>50</v>
      </c>
      <c r="I41" s="15" t="n">
        <v>1</v>
      </c>
      <c r="J41" s="18" t="n">
        <v>449</v>
      </c>
      <c r="K41" s="18" t="n">
        <v>260</v>
      </c>
      <c r="L41" s="19" t="n">
        <f aca="false">I41*J41</f>
        <v>449</v>
      </c>
      <c r="M41" s="19" t="n">
        <f aca="false">L41-I41*K41</f>
        <v>189</v>
      </c>
    </row>
    <row r="42" customFormat="false" ht="15" hidden="false" customHeight="false" outlineLevel="0" collapsed="false">
      <c r="A42" s="15" t="s">
        <v>84</v>
      </c>
      <c r="B42" s="16" t="n">
        <v>45775</v>
      </c>
      <c r="C42" s="17" t="n">
        <f aca="false">YEAR(B42)</f>
        <v>2025</v>
      </c>
      <c r="D42" s="17" t="n">
        <f aca="false">MONTH(B42)</f>
        <v>4</v>
      </c>
      <c r="E42" s="15" t="s">
        <v>37</v>
      </c>
      <c r="F42" s="15" t="s">
        <v>38</v>
      </c>
      <c r="G42" s="15" t="s">
        <v>29</v>
      </c>
      <c r="H42" s="15" t="s">
        <v>50</v>
      </c>
      <c r="I42" s="15" t="n">
        <v>3</v>
      </c>
      <c r="J42" s="18" t="n">
        <v>449</v>
      </c>
      <c r="K42" s="18" t="n">
        <v>260</v>
      </c>
      <c r="L42" s="19" t="n">
        <f aca="false">I42*J42</f>
        <v>1347</v>
      </c>
      <c r="M42" s="19" t="n">
        <f aca="false">L42-I42*K42</f>
        <v>567</v>
      </c>
    </row>
    <row r="43" customFormat="false" ht="15" hidden="false" customHeight="false" outlineLevel="0" collapsed="false">
      <c r="A43" s="15" t="s">
        <v>85</v>
      </c>
      <c r="B43" s="16" t="n">
        <v>45649</v>
      </c>
      <c r="C43" s="17" t="n">
        <f aca="false">YEAR(B43)</f>
        <v>2024</v>
      </c>
      <c r="D43" s="17" t="n">
        <f aca="false">MONTH(B43)</f>
        <v>12</v>
      </c>
      <c r="E43" s="15" t="s">
        <v>27</v>
      </c>
      <c r="F43" s="15" t="s">
        <v>28</v>
      </c>
      <c r="G43" s="15" t="s">
        <v>39</v>
      </c>
      <c r="H43" s="15" t="s">
        <v>30</v>
      </c>
      <c r="I43" s="15" t="n">
        <v>3</v>
      </c>
      <c r="J43" s="18" t="n">
        <v>100</v>
      </c>
      <c r="K43" s="18" t="n">
        <v>88</v>
      </c>
      <c r="L43" s="19" t="n">
        <f aca="false">I43*J43</f>
        <v>300</v>
      </c>
      <c r="M43" s="19" t="n">
        <f aca="false">L43-I43*K43</f>
        <v>36</v>
      </c>
    </row>
    <row r="44" customFormat="false" ht="15" hidden="false" customHeight="false" outlineLevel="0" collapsed="false">
      <c r="A44" s="15" t="s">
        <v>86</v>
      </c>
      <c r="B44" s="16" t="n">
        <v>45773</v>
      </c>
      <c r="C44" s="17" t="n">
        <f aca="false">YEAR(B44)</f>
        <v>2025</v>
      </c>
      <c r="D44" s="17" t="n">
        <f aca="false">MONTH(B44)</f>
        <v>4</v>
      </c>
      <c r="E44" s="15" t="s">
        <v>33</v>
      </c>
      <c r="F44" s="15" t="s">
        <v>34</v>
      </c>
      <c r="G44" s="15" t="s">
        <v>29</v>
      </c>
      <c r="H44" s="15" t="s">
        <v>50</v>
      </c>
      <c r="I44" s="15" t="n">
        <v>1</v>
      </c>
      <c r="J44" s="18" t="n">
        <v>2799</v>
      </c>
      <c r="K44" s="18" t="n">
        <v>2100</v>
      </c>
      <c r="L44" s="19" t="n">
        <f aca="false">I44*J44</f>
        <v>2799</v>
      </c>
      <c r="M44" s="19" t="n">
        <f aca="false">L44-I44*K44</f>
        <v>699</v>
      </c>
    </row>
    <row r="45" customFormat="false" ht="15" hidden="false" customHeight="false" outlineLevel="0" collapsed="false">
      <c r="A45" s="15" t="s">
        <v>87</v>
      </c>
      <c r="B45" s="16" t="n">
        <v>45916</v>
      </c>
      <c r="C45" s="17" t="n">
        <f aca="false">YEAR(B45)</f>
        <v>2025</v>
      </c>
      <c r="D45" s="17" t="n">
        <f aca="false">MONTH(B45)</f>
        <v>9</v>
      </c>
      <c r="E45" s="15" t="s">
        <v>27</v>
      </c>
      <c r="F45" s="15" t="s">
        <v>28</v>
      </c>
      <c r="G45" s="15" t="s">
        <v>35</v>
      </c>
      <c r="H45" s="15" t="s">
        <v>30</v>
      </c>
      <c r="I45" s="15" t="n">
        <v>4</v>
      </c>
      <c r="J45" s="18" t="n">
        <v>100</v>
      </c>
      <c r="K45" s="18" t="n">
        <v>88</v>
      </c>
      <c r="L45" s="19" t="n">
        <f aca="false">I45*J45</f>
        <v>400</v>
      </c>
      <c r="M45" s="19" t="n">
        <f aca="false">L45-I45*K45</f>
        <v>48</v>
      </c>
    </row>
    <row r="46" customFormat="false" ht="15" hidden="false" customHeight="false" outlineLevel="0" collapsed="false">
      <c r="A46" s="15" t="s">
        <v>88</v>
      </c>
      <c r="B46" s="16" t="n">
        <v>45950</v>
      </c>
      <c r="C46" s="17" t="n">
        <f aca="false">YEAR(B46)</f>
        <v>2025</v>
      </c>
      <c r="D46" s="17" t="n">
        <f aca="false">MONTH(B46)</f>
        <v>10</v>
      </c>
      <c r="E46" s="15" t="s">
        <v>33</v>
      </c>
      <c r="F46" s="15" t="s">
        <v>34</v>
      </c>
      <c r="G46" s="15" t="s">
        <v>35</v>
      </c>
      <c r="H46" s="15" t="s">
        <v>50</v>
      </c>
      <c r="I46" s="15" t="n">
        <v>1</v>
      </c>
      <c r="J46" s="18" t="n">
        <v>2799</v>
      </c>
      <c r="K46" s="18" t="n">
        <v>2100</v>
      </c>
      <c r="L46" s="19" t="n">
        <f aca="false">I46*J46</f>
        <v>2799</v>
      </c>
      <c r="M46" s="19" t="n">
        <f aca="false">L46-I46*K46</f>
        <v>699</v>
      </c>
    </row>
    <row r="47" customFormat="false" ht="15" hidden="false" customHeight="false" outlineLevel="0" collapsed="false">
      <c r="A47" s="15" t="s">
        <v>89</v>
      </c>
      <c r="B47" s="16" t="n">
        <v>45496</v>
      </c>
      <c r="C47" s="17" t="n">
        <f aca="false">YEAR(B47)</f>
        <v>2024</v>
      </c>
      <c r="D47" s="17" t="n">
        <f aca="false">MONTH(B47)</f>
        <v>7</v>
      </c>
      <c r="E47" s="15" t="s">
        <v>37</v>
      </c>
      <c r="F47" s="15" t="s">
        <v>38</v>
      </c>
      <c r="G47" s="15" t="s">
        <v>29</v>
      </c>
      <c r="H47" s="15" t="s">
        <v>40</v>
      </c>
      <c r="I47" s="15" t="n">
        <v>2</v>
      </c>
      <c r="J47" s="18" t="n">
        <v>449</v>
      </c>
      <c r="K47" s="18" t="n">
        <v>260</v>
      </c>
      <c r="L47" s="19" t="n">
        <f aca="false">I47*J47</f>
        <v>898</v>
      </c>
      <c r="M47" s="19" t="n">
        <f aca="false">L47-I47*K47</f>
        <v>378</v>
      </c>
    </row>
    <row r="48" customFormat="false" ht="15" hidden="false" customHeight="false" outlineLevel="0" collapsed="false">
      <c r="A48" s="15" t="s">
        <v>90</v>
      </c>
      <c r="B48" s="16" t="n">
        <v>45380</v>
      </c>
      <c r="C48" s="17" t="n">
        <f aca="false">YEAR(B48)</f>
        <v>2024</v>
      </c>
      <c r="D48" s="17" t="n">
        <f aca="false">MONTH(B48)</f>
        <v>3</v>
      </c>
      <c r="E48" s="15" t="s">
        <v>48</v>
      </c>
      <c r="F48" s="15" t="s">
        <v>28</v>
      </c>
      <c r="G48" s="15" t="s">
        <v>29</v>
      </c>
      <c r="H48" s="15" t="s">
        <v>50</v>
      </c>
      <c r="I48" s="15" t="n">
        <v>4</v>
      </c>
      <c r="J48" s="18" t="n">
        <v>149</v>
      </c>
      <c r="K48" s="18" t="n">
        <v>60</v>
      </c>
      <c r="L48" s="19" t="n">
        <f aca="false">I48*J48</f>
        <v>596</v>
      </c>
      <c r="M48" s="19" t="n">
        <f aca="false">L48-I48*K48</f>
        <v>356</v>
      </c>
    </row>
    <row r="49" customFormat="false" ht="15" hidden="false" customHeight="false" outlineLevel="0" collapsed="false">
      <c r="A49" s="15" t="s">
        <v>91</v>
      </c>
      <c r="B49" s="16" t="n">
        <v>45378</v>
      </c>
      <c r="C49" s="17" t="n">
        <f aca="false">YEAR(B49)</f>
        <v>2024</v>
      </c>
      <c r="D49" s="17" t="n">
        <f aca="false">MONTH(B49)</f>
        <v>3</v>
      </c>
      <c r="E49" s="15" t="s">
        <v>48</v>
      </c>
      <c r="F49" s="15" t="s">
        <v>28</v>
      </c>
      <c r="G49" s="15" t="s">
        <v>35</v>
      </c>
      <c r="H49" s="15" t="s">
        <v>30</v>
      </c>
      <c r="I49" s="15" t="n">
        <v>2</v>
      </c>
      <c r="J49" s="18" t="n">
        <v>149</v>
      </c>
      <c r="K49" s="18" t="n">
        <v>60</v>
      </c>
      <c r="L49" s="19" t="n">
        <f aca="false">I49*J49</f>
        <v>298</v>
      </c>
      <c r="M49" s="19" t="n">
        <f aca="false">L49-I49*K49</f>
        <v>178</v>
      </c>
    </row>
    <row r="50" customFormat="false" ht="15" hidden="false" customHeight="false" outlineLevel="0" collapsed="false">
      <c r="A50" s="15" t="s">
        <v>92</v>
      </c>
      <c r="B50" s="16" t="n">
        <v>45896</v>
      </c>
      <c r="C50" s="17" t="n">
        <f aca="false">YEAR(B50)</f>
        <v>2025</v>
      </c>
      <c r="D50" s="17" t="n">
        <f aca="false">MONTH(B50)</f>
        <v>8</v>
      </c>
      <c r="E50" s="15" t="s">
        <v>27</v>
      </c>
      <c r="F50" s="15" t="s">
        <v>28</v>
      </c>
      <c r="G50" s="15" t="s">
        <v>29</v>
      </c>
      <c r="H50" s="15" t="s">
        <v>40</v>
      </c>
      <c r="I50" s="15" t="n">
        <v>2</v>
      </c>
      <c r="J50" s="18" t="n">
        <v>100</v>
      </c>
      <c r="K50" s="18" t="n">
        <v>88</v>
      </c>
      <c r="L50" s="19" t="n">
        <f aca="false">I50*J50</f>
        <v>200</v>
      </c>
      <c r="M50" s="19" t="n">
        <f aca="false">L50-I50*K50</f>
        <v>24</v>
      </c>
    </row>
    <row r="51" customFormat="false" ht="15" hidden="false" customHeight="false" outlineLevel="0" collapsed="false">
      <c r="A51" s="15" t="s">
        <v>93</v>
      </c>
      <c r="B51" s="16" t="n">
        <v>45777</v>
      </c>
      <c r="C51" s="17" t="n">
        <f aca="false">YEAR(B51)</f>
        <v>2025</v>
      </c>
      <c r="D51" s="17" t="n">
        <f aca="false">MONTH(B51)</f>
        <v>4</v>
      </c>
      <c r="E51" s="15" t="s">
        <v>48</v>
      </c>
      <c r="F51" s="15" t="s">
        <v>28</v>
      </c>
      <c r="G51" s="15" t="s">
        <v>39</v>
      </c>
      <c r="H51" s="15" t="s">
        <v>40</v>
      </c>
      <c r="I51" s="15" t="n">
        <v>3</v>
      </c>
      <c r="J51" s="18" t="n">
        <v>149</v>
      </c>
      <c r="K51" s="18" t="n">
        <v>60</v>
      </c>
      <c r="L51" s="19" t="n">
        <f aca="false">I51*J51</f>
        <v>447</v>
      </c>
      <c r="M51" s="19" t="n">
        <f aca="false">L51-I51*K51</f>
        <v>267</v>
      </c>
    </row>
    <row r="52" customFormat="false" ht="15" hidden="false" customHeight="false" outlineLevel="0" collapsed="false">
      <c r="A52" s="15" t="s">
        <v>94</v>
      </c>
      <c r="B52" s="16" t="n">
        <v>45313</v>
      </c>
      <c r="C52" s="17" t="n">
        <f aca="false">YEAR(B52)</f>
        <v>2024</v>
      </c>
      <c r="D52" s="17" t="n">
        <f aca="false">MONTH(B52)</f>
        <v>1</v>
      </c>
      <c r="E52" s="15" t="s">
        <v>62</v>
      </c>
      <c r="F52" s="15" t="s">
        <v>34</v>
      </c>
      <c r="G52" s="15" t="s">
        <v>29</v>
      </c>
      <c r="H52" s="15" t="s">
        <v>50</v>
      </c>
      <c r="I52" s="15" t="n">
        <v>1</v>
      </c>
      <c r="J52" s="18" t="n">
        <v>4499</v>
      </c>
      <c r="K52" s="18" t="n">
        <v>3400</v>
      </c>
      <c r="L52" s="19" t="n">
        <f aca="false">I52*J52</f>
        <v>4499</v>
      </c>
      <c r="M52" s="19" t="n">
        <f aca="false">L52-I52*K52</f>
        <v>1099</v>
      </c>
    </row>
    <row r="53" customFormat="false" ht="15" hidden="false" customHeight="false" outlineLevel="0" collapsed="false">
      <c r="A53" s="15" t="s">
        <v>95</v>
      </c>
      <c r="B53" s="16" t="n">
        <v>45736</v>
      </c>
      <c r="C53" s="17" t="n">
        <f aca="false">YEAR(B53)</f>
        <v>2025</v>
      </c>
      <c r="D53" s="17" t="n">
        <f aca="false">MONTH(B53)</f>
        <v>3</v>
      </c>
      <c r="E53" s="15" t="s">
        <v>27</v>
      </c>
      <c r="F53" s="15" t="s">
        <v>28</v>
      </c>
      <c r="G53" s="15" t="s">
        <v>35</v>
      </c>
      <c r="H53" s="15" t="s">
        <v>30</v>
      </c>
      <c r="I53" s="15" t="n">
        <v>2</v>
      </c>
      <c r="J53" s="18" t="n">
        <v>100</v>
      </c>
      <c r="K53" s="18" t="n">
        <v>88</v>
      </c>
      <c r="L53" s="19" t="n">
        <f aca="false">I53*J53</f>
        <v>200</v>
      </c>
      <c r="M53" s="19" t="n">
        <f aca="false">L53-I53*K53</f>
        <v>24</v>
      </c>
    </row>
    <row r="54" customFormat="false" ht="15" hidden="false" customHeight="false" outlineLevel="0" collapsed="false">
      <c r="A54" s="15" t="s">
        <v>96</v>
      </c>
      <c r="B54" s="16" t="n">
        <v>45549</v>
      </c>
      <c r="C54" s="17" t="n">
        <f aca="false">YEAR(B54)</f>
        <v>2024</v>
      </c>
      <c r="D54" s="17" t="n">
        <f aca="false">MONTH(B54)</f>
        <v>9</v>
      </c>
      <c r="E54" s="15" t="s">
        <v>33</v>
      </c>
      <c r="F54" s="15" t="s">
        <v>34</v>
      </c>
      <c r="G54" s="15" t="s">
        <v>29</v>
      </c>
      <c r="H54" s="15" t="s">
        <v>30</v>
      </c>
      <c r="I54" s="15" t="n">
        <v>1</v>
      </c>
      <c r="J54" s="18" t="n">
        <v>2799</v>
      </c>
      <c r="K54" s="18" t="n">
        <v>2100</v>
      </c>
      <c r="L54" s="19" t="n">
        <f aca="false">I54*J54</f>
        <v>2799</v>
      </c>
      <c r="M54" s="19" t="n">
        <f aca="false">L54-I54*K54</f>
        <v>699</v>
      </c>
    </row>
    <row r="55" customFormat="false" ht="15" hidden="false" customHeight="false" outlineLevel="0" collapsed="false">
      <c r="A55" s="15" t="s">
        <v>97</v>
      </c>
      <c r="B55" s="16" t="n">
        <v>45849</v>
      </c>
      <c r="C55" s="17" t="n">
        <f aca="false">YEAR(B55)</f>
        <v>2025</v>
      </c>
      <c r="D55" s="17" t="n">
        <f aca="false">MONTH(B55)</f>
        <v>7</v>
      </c>
      <c r="E55" s="15" t="s">
        <v>37</v>
      </c>
      <c r="F55" s="15" t="s">
        <v>38</v>
      </c>
      <c r="G55" s="15" t="s">
        <v>43</v>
      </c>
      <c r="H55" s="15" t="s">
        <v>50</v>
      </c>
      <c r="I55" s="15" t="n">
        <v>2</v>
      </c>
      <c r="J55" s="18" t="n">
        <v>449</v>
      </c>
      <c r="K55" s="18" t="n">
        <v>260</v>
      </c>
      <c r="L55" s="19" t="n">
        <f aca="false">I55*J55</f>
        <v>898</v>
      </c>
      <c r="M55" s="19" t="n">
        <f aca="false">L55-I55*K55</f>
        <v>378</v>
      </c>
    </row>
    <row r="56" customFormat="false" ht="15" hidden="false" customHeight="false" outlineLevel="0" collapsed="false">
      <c r="A56" s="15" t="s">
        <v>98</v>
      </c>
      <c r="B56" s="16" t="n">
        <v>45761</v>
      </c>
      <c r="C56" s="17" t="n">
        <f aca="false">YEAR(B56)</f>
        <v>2025</v>
      </c>
      <c r="D56" s="17" t="n">
        <f aca="false">MONTH(B56)</f>
        <v>4</v>
      </c>
      <c r="E56" s="15" t="s">
        <v>48</v>
      </c>
      <c r="F56" s="15" t="s">
        <v>28</v>
      </c>
      <c r="G56" s="15" t="s">
        <v>35</v>
      </c>
      <c r="H56" s="15" t="s">
        <v>50</v>
      </c>
      <c r="I56" s="15" t="n">
        <v>4</v>
      </c>
      <c r="J56" s="18" t="n">
        <v>149</v>
      </c>
      <c r="K56" s="18" t="n">
        <v>60</v>
      </c>
      <c r="L56" s="19" t="n">
        <f aca="false">I56*J56</f>
        <v>596</v>
      </c>
      <c r="M56" s="19" t="n">
        <f aca="false">L56-I56*K56</f>
        <v>356</v>
      </c>
    </row>
    <row r="57" customFormat="false" ht="15" hidden="false" customHeight="false" outlineLevel="0" collapsed="false">
      <c r="A57" s="15" t="s">
        <v>99</v>
      </c>
      <c r="B57" s="16" t="n">
        <v>45425</v>
      </c>
      <c r="C57" s="17" t="n">
        <f aca="false">YEAR(B57)</f>
        <v>2024</v>
      </c>
      <c r="D57" s="17" t="n">
        <f aca="false">MONTH(B57)</f>
        <v>5</v>
      </c>
      <c r="E57" s="15" t="s">
        <v>57</v>
      </c>
      <c r="F57" s="15" t="s">
        <v>38</v>
      </c>
      <c r="G57" s="15" t="s">
        <v>35</v>
      </c>
      <c r="H57" s="15" t="s">
        <v>50</v>
      </c>
      <c r="I57" s="15" t="n">
        <v>1</v>
      </c>
      <c r="J57" s="18" t="n">
        <v>699</v>
      </c>
      <c r="K57" s="18" t="n">
        <v>420</v>
      </c>
      <c r="L57" s="19" t="n">
        <f aca="false">I57*J57</f>
        <v>699</v>
      </c>
      <c r="M57" s="19" t="n">
        <f aca="false">L57-I57*K57</f>
        <v>279</v>
      </c>
    </row>
    <row r="58" customFormat="false" ht="15" hidden="false" customHeight="false" outlineLevel="0" collapsed="false">
      <c r="A58" s="15" t="s">
        <v>100</v>
      </c>
      <c r="B58" s="16" t="n">
        <v>45915</v>
      </c>
      <c r="C58" s="17" t="n">
        <f aca="false">YEAR(B58)</f>
        <v>2025</v>
      </c>
      <c r="D58" s="17" t="n">
        <f aca="false">MONTH(B58)</f>
        <v>9</v>
      </c>
      <c r="E58" s="15" t="s">
        <v>62</v>
      </c>
      <c r="F58" s="15" t="s">
        <v>34</v>
      </c>
      <c r="G58" s="15" t="s">
        <v>39</v>
      </c>
      <c r="H58" s="15" t="s">
        <v>40</v>
      </c>
      <c r="I58" s="15" t="n">
        <v>1</v>
      </c>
      <c r="J58" s="18" t="n">
        <v>4499</v>
      </c>
      <c r="K58" s="18" t="n">
        <v>3400</v>
      </c>
      <c r="L58" s="19" t="n">
        <f aca="false">I58*J58</f>
        <v>4499</v>
      </c>
      <c r="M58" s="19" t="n">
        <f aca="false">L58-I58*K58</f>
        <v>1099</v>
      </c>
    </row>
    <row r="59" customFormat="false" ht="15" hidden="false" customHeight="false" outlineLevel="0" collapsed="false">
      <c r="A59" s="15" t="s">
        <v>101</v>
      </c>
      <c r="B59" s="16" t="n">
        <v>45415</v>
      </c>
      <c r="C59" s="17" t="n">
        <f aca="false">YEAR(B59)</f>
        <v>2024</v>
      </c>
      <c r="D59" s="17" t="n">
        <f aca="false">MONTH(B59)</f>
        <v>5</v>
      </c>
      <c r="E59" s="15" t="s">
        <v>57</v>
      </c>
      <c r="F59" s="15" t="s">
        <v>38</v>
      </c>
      <c r="G59" s="15" t="s">
        <v>29</v>
      </c>
      <c r="H59" s="15" t="s">
        <v>40</v>
      </c>
      <c r="I59" s="15" t="n">
        <v>3</v>
      </c>
      <c r="J59" s="18" t="n">
        <v>699</v>
      </c>
      <c r="K59" s="18" t="n">
        <v>420</v>
      </c>
      <c r="L59" s="19" t="n">
        <f aca="false">I59*J59</f>
        <v>2097</v>
      </c>
      <c r="M59" s="19" t="n">
        <f aca="false">L59-I59*K59</f>
        <v>837</v>
      </c>
    </row>
    <row r="60" customFormat="false" ht="15" hidden="false" customHeight="false" outlineLevel="0" collapsed="false">
      <c r="A60" s="15" t="s">
        <v>102</v>
      </c>
      <c r="B60" s="16" t="n">
        <v>45786</v>
      </c>
      <c r="C60" s="17" t="n">
        <f aca="false">YEAR(B60)</f>
        <v>2025</v>
      </c>
      <c r="D60" s="17" t="n">
        <f aca="false">MONTH(B60)</f>
        <v>5</v>
      </c>
      <c r="E60" s="15" t="s">
        <v>48</v>
      </c>
      <c r="F60" s="15" t="s">
        <v>28</v>
      </c>
      <c r="G60" s="15" t="s">
        <v>35</v>
      </c>
      <c r="H60" s="15" t="s">
        <v>30</v>
      </c>
      <c r="I60" s="15" t="n">
        <v>1</v>
      </c>
      <c r="J60" s="18" t="n">
        <v>149</v>
      </c>
      <c r="K60" s="18" t="n">
        <v>60</v>
      </c>
      <c r="L60" s="19" t="n">
        <f aca="false">I60*J60</f>
        <v>149</v>
      </c>
      <c r="M60" s="19" t="n">
        <f aca="false">L60-I60*K60</f>
        <v>89</v>
      </c>
    </row>
    <row r="61" customFormat="false" ht="15" hidden="false" customHeight="false" outlineLevel="0" collapsed="false">
      <c r="A61" s="15" t="s">
        <v>103</v>
      </c>
      <c r="B61" s="16" t="n">
        <v>45487</v>
      </c>
      <c r="C61" s="17" t="n">
        <f aca="false">YEAR(B61)</f>
        <v>2024</v>
      </c>
      <c r="D61" s="17" t="n">
        <f aca="false">MONTH(B61)</f>
        <v>7</v>
      </c>
      <c r="E61" s="15" t="s">
        <v>37</v>
      </c>
      <c r="F61" s="15" t="s">
        <v>38</v>
      </c>
      <c r="G61" s="15" t="s">
        <v>29</v>
      </c>
      <c r="H61" s="15" t="s">
        <v>40</v>
      </c>
      <c r="I61" s="15" t="n">
        <v>1</v>
      </c>
      <c r="J61" s="18" t="n">
        <v>449</v>
      </c>
      <c r="K61" s="18" t="n">
        <v>260</v>
      </c>
      <c r="L61" s="19" t="n">
        <f aca="false">I61*J61</f>
        <v>449</v>
      </c>
      <c r="M61" s="19" t="n">
        <f aca="false">L61-I61*K61</f>
        <v>189</v>
      </c>
    </row>
    <row r="62" customFormat="false" ht="15" hidden="false" customHeight="false" outlineLevel="0" collapsed="false">
      <c r="A62" s="15" t="s">
        <v>104</v>
      </c>
      <c r="B62" s="16" t="n">
        <v>45356</v>
      </c>
      <c r="C62" s="17" t="n">
        <f aca="false">YEAR(B62)</f>
        <v>2024</v>
      </c>
      <c r="D62" s="17" t="n">
        <f aca="false">MONTH(B62)</f>
        <v>3</v>
      </c>
      <c r="E62" s="15" t="s">
        <v>37</v>
      </c>
      <c r="F62" s="15" t="s">
        <v>38</v>
      </c>
      <c r="G62" s="15" t="s">
        <v>29</v>
      </c>
      <c r="H62" s="15" t="s">
        <v>40</v>
      </c>
      <c r="I62" s="15" t="n">
        <v>2</v>
      </c>
      <c r="J62" s="18" t="n">
        <v>449</v>
      </c>
      <c r="K62" s="18" t="n">
        <v>260</v>
      </c>
      <c r="L62" s="19" t="n">
        <f aca="false">I62*J62</f>
        <v>898</v>
      </c>
      <c r="M62" s="19" t="n">
        <f aca="false">L62-I62*K62</f>
        <v>378</v>
      </c>
    </row>
    <row r="63" customFormat="false" ht="15" hidden="false" customHeight="false" outlineLevel="0" collapsed="false">
      <c r="A63" s="15" t="s">
        <v>105</v>
      </c>
      <c r="B63" s="16" t="n">
        <v>45838</v>
      </c>
      <c r="C63" s="17" t="n">
        <f aca="false">YEAR(B63)</f>
        <v>2025</v>
      </c>
      <c r="D63" s="17" t="n">
        <f aca="false">MONTH(B63)</f>
        <v>6</v>
      </c>
      <c r="E63" s="15" t="s">
        <v>48</v>
      </c>
      <c r="F63" s="15" t="s">
        <v>28</v>
      </c>
      <c r="G63" s="15" t="s">
        <v>29</v>
      </c>
      <c r="H63" s="15" t="s">
        <v>50</v>
      </c>
      <c r="I63" s="15" t="n">
        <v>2</v>
      </c>
      <c r="J63" s="18" t="n">
        <v>149</v>
      </c>
      <c r="K63" s="18" t="n">
        <v>60</v>
      </c>
      <c r="L63" s="19" t="n">
        <f aca="false">I63*J63</f>
        <v>298</v>
      </c>
      <c r="M63" s="19" t="n">
        <f aca="false">L63-I63*K63</f>
        <v>178</v>
      </c>
    </row>
    <row r="64" customFormat="false" ht="15" hidden="false" customHeight="false" outlineLevel="0" collapsed="false">
      <c r="A64" s="15" t="s">
        <v>106</v>
      </c>
      <c r="B64" s="16" t="n">
        <v>45557</v>
      </c>
      <c r="C64" s="17" t="n">
        <f aca="false">YEAR(B64)</f>
        <v>2024</v>
      </c>
      <c r="D64" s="17" t="n">
        <f aca="false">MONTH(B64)</f>
        <v>9</v>
      </c>
      <c r="E64" s="15" t="s">
        <v>27</v>
      </c>
      <c r="F64" s="15" t="s">
        <v>28</v>
      </c>
      <c r="G64" s="15" t="s">
        <v>35</v>
      </c>
      <c r="H64" s="15" t="s">
        <v>30</v>
      </c>
      <c r="I64" s="15" t="n">
        <v>2</v>
      </c>
      <c r="J64" s="18" t="n">
        <v>100</v>
      </c>
      <c r="K64" s="18" t="n">
        <v>88</v>
      </c>
      <c r="L64" s="19" t="n">
        <f aca="false">I64*J64</f>
        <v>200</v>
      </c>
      <c r="M64" s="19" t="n">
        <f aca="false">L64-I64*K64</f>
        <v>24</v>
      </c>
    </row>
    <row r="65" customFormat="false" ht="15" hidden="false" customHeight="false" outlineLevel="0" collapsed="false">
      <c r="A65" s="15" t="s">
        <v>107</v>
      </c>
      <c r="B65" s="16" t="n">
        <v>45416</v>
      </c>
      <c r="C65" s="17" t="n">
        <f aca="false">YEAR(B65)</f>
        <v>2024</v>
      </c>
      <c r="D65" s="17" t="n">
        <f aca="false">MONTH(B65)</f>
        <v>5</v>
      </c>
      <c r="E65" s="15" t="s">
        <v>37</v>
      </c>
      <c r="F65" s="15" t="s">
        <v>38</v>
      </c>
      <c r="G65" s="15" t="s">
        <v>39</v>
      </c>
      <c r="H65" s="15" t="s">
        <v>30</v>
      </c>
      <c r="I65" s="15" t="n">
        <v>3</v>
      </c>
      <c r="J65" s="18" t="n">
        <v>449</v>
      </c>
      <c r="K65" s="18" t="n">
        <v>260</v>
      </c>
      <c r="L65" s="19" t="n">
        <f aca="false">I65*J65</f>
        <v>1347</v>
      </c>
      <c r="M65" s="19" t="n">
        <f aca="false">L65-I65*K65</f>
        <v>567</v>
      </c>
    </row>
    <row r="66" customFormat="false" ht="15" hidden="false" customHeight="false" outlineLevel="0" collapsed="false">
      <c r="A66" s="15" t="s">
        <v>108</v>
      </c>
      <c r="B66" s="16" t="n">
        <v>45366</v>
      </c>
      <c r="C66" s="17" t="n">
        <f aca="false">YEAR(B66)</f>
        <v>2024</v>
      </c>
      <c r="D66" s="17" t="n">
        <f aca="false">MONTH(B66)</f>
        <v>3</v>
      </c>
      <c r="E66" s="15" t="s">
        <v>33</v>
      </c>
      <c r="F66" s="15" t="s">
        <v>34</v>
      </c>
      <c r="G66" s="15" t="s">
        <v>29</v>
      </c>
      <c r="H66" s="15" t="s">
        <v>50</v>
      </c>
      <c r="I66" s="15" t="n">
        <v>2</v>
      </c>
      <c r="J66" s="18" t="n">
        <v>2799</v>
      </c>
      <c r="K66" s="18" t="n">
        <v>2100</v>
      </c>
      <c r="L66" s="19" t="n">
        <f aca="false">I66*J66</f>
        <v>5598</v>
      </c>
      <c r="M66" s="19" t="n">
        <f aca="false">L66-I66*K66</f>
        <v>1398</v>
      </c>
    </row>
    <row r="67" customFormat="false" ht="15" hidden="false" customHeight="false" outlineLevel="0" collapsed="false">
      <c r="A67" s="15" t="s">
        <v>109</v>
      </c>
      <c r="B67" s="16" t="n">
        <v>45450</v>
      </c>
      <c r="C67" s="17" t="n">
        <f aca="false">YEAR(B67)</f>
        <v>2024</v>
      </c>
      <c r="D67" s="17" t="n">
        <f aca="false">MONTH(B67)</f>
        <v>6</v>
      </c>
      <c r="E67" s="15" t="s">
        <v>27</v>
      </c>
      <c r="F67" s="15" t="s">
        <v>28</v>
      </c>
      <c r="G67" s="15" t="s">
        <v>39</v>
      </c>
      <c r="H67" s="15" t="s">
        <v>50</v>
      </c>
      <c r="I67" s="15" t="n">
        <v>3</v>
      </c>
      <c r="J67" s="18" t="n">
        <v>100</v>
      </c>
      <c r="K67" s="18" t="n">
        <v>88</v>
      </c>
      <c r="L67" s="19" t="n">
        <f aca="false">I67*J67</f>
        <v>300</v>
      </c>
      <c r="M67" s="19" t="n">
        <f aca="false">L67-I67*K67</f>
        <v>36</v>
      </c>
    </row>
    <row r="68" customFormat="false" ht="15" hidden="false" customHeight="false" outlineLevel="0" collapsed="false">
      <c r="A68" s="15" t="s">
        <v>110</v>
      </c>
      <c r="B68" s="16" t="n">
        <v>45770</v>
      </c>
      <c r="C68" s="17" t="n">
        <f aca="false">YEAR(B68)</f>
        <v>2025</v>
      </c>
      <c r="D68" s="17" t="n">
        <f aca="false">MONTH(B68)</f>
        <v>4</v>
      </c>
      <c r="E68" s="15" t="s">
        <v>37</v>
      </c>
      <c r="F68" s="15" t="s">
        <v>38</v>
      </c>
      <c r="G68" s="15" t="s">
        <v>55</v>
      </c>
      <c r="H68" s="15" t="s">
        <v>40</v>
      </c>
      <c r="I68" s="15" t="n">
        <v>1</v>
      </c>
      <c r="J68" s="18" t="n">
        <v>449</v>
      </c>
      <c r="K68" s="18" t="n">
        <v>260</v>
      </c>
      <c r="L68" s="19" t="n">
        <f aca="false">I68*J68</f>
        <v>449</v>
      </c>
      <c r="M68" s="19" t="n">
        <f aca="false">L68-I68*K68</f>
        <v>189</v>
      </c>
    </row>
    <row r="69" customFormat="false" ht="15" hidden="false" customHeight="false" outlineLevel="0" collapsed="false">
      <c r="A69" s="15" t="s">
        <v>111</v>
      </c>
      <c r="B69" s="16" t="n">
        <v>45975</v>
      </c>
      <c r="C69" s="17" t="n">
        <f aca="false">YEAR(B69)</f>
        <v>2025</v>
      </c>
      <c r="D69" s="17" t="n">
        <f aca="false">MONTH(B69)</f>
        <v>11</v>
      </c>
      <c r="E69" s="15" t="s">
        <v>27</v>
      </c>
      <c r="F69" s="15" t="s">
        <v>28</v>
      </c>
      <c r="G69" s="15" t="s">
        <v>29</v>
      </c>
      <c r="H69" s="15" t="s">
        <v>50</v>
      </c>
      <c r="I69" s="15" t="n">
        <v>2</v>
      </c>
      <c r="J69" s="18" t="n">
        <v>100</v>
      </c>
      <c r="K69" s="18" t="n">
        <v>88</v>
      </c>
      <c r="L69" s="19" t="n">
        <f aca="false">I69*J69</f>
        <v>200</v>
      </c>
      <c r="M69" s="19" t="n">
        <f aca="false">L69-I69*K69</f>
        <v>24</v>
      </c>
    </row>
    <row r="70" customFormat="false" ht="15" hidden="false" customHeight="false" outlineLevel="0" collapsed="false">
      <c r="A70" s="15" t="s">
        <v>112</v>
      </c>
      <c r="B70" s="16" t="n">
        <v>45705</v>
      </c>
      <c r="C70" s="17" t="n">
        <f aca="false">YEAR(B70)</f>
        <v>2025</v>
      </c>
      <c r="D70" s="17" t="n">
        <f aca="false">MONTH(B70)</f>
        <v>2</v>
      </c>
      <c r="E70" s="15" t="s">
        <v>37</v>
      </c>
      <c r="F70" s="15" t="s">
        <v>38</v>
      </c>
      <c r="G70" s="15" t="s">
        <v>55</v>
      </c>
      <c r="H70" s="15" t="s">
        <v>30</v>
      </c>
      <c r="I70" s="15" t="n">
        <v>2</v>
      </c>
      <c r="J70" s="18" t="n">
        <v>449</v>
      </c>
      <c r="K70" s="18" t="n">
        <v>260</v>
      </c>
      <c r="L70" s="19" t="n">
        <f aca="false">I70*J70</f>
        <v>898</v>
      </c>
      <c r="M70" s="19" t="n">
        <f aca="false">L70-I70*K70</f>
        <v>378</v>
      </c>
    </row>
    <row r="71" customFormat="false" ht="15" hidden="false" customHeight="false" outlineLevel="0" collapsed="false">
      <c r="A71" s="15" t="s">
        <v>113</v>
      </c>
      <c r="B71" s="16" t="n">
        <v>45666</v>
      </c>
      <c r="C71" s="17" t="n">
        <f aca="false">YEAR(B71)</f>
        <v>2025</v>
      </c>
      <c r="D71" s="17" t="n">
        <f aca="false">MONTH(B71)</f>
        <v>1</v>
      </c>
      <c r="E71" s="15" t="s">
        <v>62</v>
      </c>
      <c r="F71" s="15" t="s">
        <v>34</v>
      </c>
      <c r="G71" s="15" t="s">
        <v>29</v>
      </c>
      <c r="H71" s="15" t="s">
        <v>30</v>
      </c>
      <c r="I71" s="15" t="n">
        <v>2</v>
      </c>
      <c r="J71" s="18" t="n">
        <v>4499</v>
      </c>
      <c r="K71" s="18" t="n">
        <v>3400</v>
      </c>
      <c r="L71" s="19" t="n">
        <f aca="false">I71*J71</f>
        <v>8998</v>
      </c>
      <c r="M71" s="19" t="n">
        <f aca="false">L71-I71*K71</f>
        <v>2198</v>
      </c>
    </row>
    <row r="72" customFormat="false" ht="15" hidden="false" customHeight="false" outlineLevel="0" collapsed="false">
      <c r="A72" s="15" t="s">
        <v>114</v>
      </c>
      <c r="B72" s="16" t="n">
        <v>45631</v>
      </c>
      <c r="C72" s="17" t="n">
        <f aca="false">YEAR(B72)</f>
        <v>2024</v>
      </c>
      <c r="D72" s="17" t="n">
        <f aca="false">MONTH(B72)</f>
        <v>12</v>
      </c>
      <c r="E72" s="15" t="s">
        <v>57</v>
      </c>
      <c r="F72" s="15" t="s">
        <v>38</v>
      </c>
      <c r="G72" s="15" t="s">
        <v>29</v>
      </c>
      <c r="H72" s="15" t="s">
        <v>30</v>
      </c>
      <c r="I72" s="15" t="n">
        <v>3</v>
      </c>
      <c r="J72" s="18" t="n">
        <v>699</v>
      </c>
      <c r="K72" s="18" t="n">
        <v>420</v>
      </c>
      <c r="L72" s="19" t="n">
        <f aca="false">I72*J72</f>
        <v>2097</v>
      </c>
      <c r="M72" s="19" t="n">
        <f aca="false">L72-I72*K72</f>
        <v>837</v>
      </c>
    </row>
    <row r="73" customFormat="false" ht="15" hidden="false" customHeight="false" outlineLevel="0" collapsed="false">
      <c r="A73" s="15" t="s">
        <v>115</v>
      </c>
      <c r="B73" s="16" t="n">
        <v>45526</v>
      </c>
      <c r="C73" s="17" t="n">
        <f aca="false">YEAR(B73)</f>
        <v>2024</v>
      </c>
      <c r="D73" s="17" t="n">
        <f aca="false">MONTH(B73)</f>
        <v>8</v>
      </c>
      <c r="E73" s="15" t="s">
        <v>27</v>
      </c>
      <c r="F73" s="15" t="s">
        <v>28</v>
      </c>
      <c r="G73" s="15" t="s">
        <v>39</v>
      </c>
      <c r="H73" s="15" t="s">
        <v>30</v>
      </c>
      <c r="I73" s="15" t="n">
        <v>1</v>
      </c>
      <c r="J73" s="18" t="n">
        <v>100</v>
      </c>
      <c r="K73" s="18" t="n">
        <v>88</v>
      </c>
      <c r="L73" s="19" t="n">
        <f aca="false">I73*J73</f>
        <v>100</v>
      </c>
      <c r="M73" s="19" t="n">
        <f aca="false">L73-I73*K73</f>
        <v>12</v>
      </c>
    </row>
    <row r="74" customFormat="false" ht="15" hidden="false" customHeight="false" outlineLevel="0" collapsed="false">
      <c r="A74" s="15" t="s">
        <v>116</v>
      </c>
      <c r="B74" s="16" t="n">
        <v>45477</v>
      </c>
      <c r="C74" s="17" t="n">
        <f aca="false">YEAR(B74)</f>
        <v>2024</v>
      </c>
      <c r="D74" s="17" t="n">
        <f aca="false">MONTH(B74)</f>
        <v>7</v>
      </c>
      <c r="E74" s="15" t="s">
        <v>37</v>
      </c>
      <c r="F74" s="15" t="s">
        <v>38</v>
      </c>
      <c r="G74" s="15" t="s">
        <v>35</v>
      </c>
      <c r="H74" s="15" t="s">
        <v>50</v>
      </c>
      <c r="I74" s="15" t="n">
        <v>2</v>
      </c>
      <c r="J74" s="18" t="n">
        <v>449</v>
      </c>
      <c r="K74" s="18" t="n">
        <v>260</v>
      </c>
      <c r="L74" s="19" t="n">
        <f aca="false">I74*J74</f>
        <v>898</v>
      </c>
      <c r="M74" s="19" t="n">
        <f aca="false">L74-I74*K74</f>
        <v>378</v>
      </c>
    </row>
    <row r="75" customFormat="false" ht="15" hidden="false" customHeight="false" outlineLevel="0" collapsed="false">
      <c r="A75" s="15" t="s">
        <v>117</v>
      </c>
      <c r="B75" s="16" t="n">
        <v>45984</v>
      </c>
      <c r="C75" s="17" t="n">
        <f aca="false">YEAR(B75)</f>
        <v>2025</v>
      </c>
      <c r="D75" s="17" t="n">
        <f aca="false">MONTH(B75)</f>
        <v>11</v>
      </c>
      <c r="E75" s="15" t="s">
        <v>48</v>
      </c>
      <c r="F75" s="15" t="s">
        <v>28</v>
      </c>
      <c r="G75" s="15" t="s">
        <v>29</v>
      </c>
      <c r="H75" s="15" t="s">
        <v>40</v>
      </c>
      <c r="I75" s="15" t="n">
        <v>3</v>
      </c>
      <c r="J75" s="18" t="n">
        <v>149</v>
      </c>
      <c r="K75" s="18" t="n">
        <v>60</v>
      </c>
      <c r="L75" s="19" t="n">
        <f aca="false">I75*J75</f>
        <v>447</v>
      </c>
      <c r="M75" s="19" t="n">
        <f aca="false">L75-I75*K75</f>
        <v>267</v>
      </c>
    </row>
    <row r="76" customFormat="false" ht="15" hidden="false" customHeight="false" outlineLevel="0" collapsed="false">
      <c r="A76" s="15" t="s">
        <v>118</v>
      </c>
      <c r="B76" s="16" t="n">
        <v>45819</v>
      </c>
      <c r="C76" s="17" t="n">
        <f aca="false">YEAR(B76)</f>
        <v>2025</v>
      </c>
      <c r="D76" s="17" t="n">
        <f aca="false">MONTH(B76)</f>
        <v>6</v>
      </c>
      <c r="E76" s="15" t="s">
        <v>57</v>
      </c>
      <c r="F76" s="15" t="s">
        <v>38</v>
      </c>
      <c r="G76" s="15" t="s">
        <v>39</v>
      </c>
      <c r="H76" s="15" t="s">
        <v>30</v>
      </c>
      <c r="I76" s="15" t="n">
        <v>3</v>
      </c>
      <c r="J76" s="18" t="n">
        <v>699</v>
      </c>
      <c r="K76" s="18" t="n">
        <v>420</v>
      </c>
      <c r="L76" s="19" t="n">
        <f aca="false">I76*J76</f>
        <v>2097</v>
      </c>
      <c r="M76" s="19" t="n">
        <f aca="false">L76-I76*K76</f>
        <v>837</v>
      </c>
    </row>
    <row r="77" customFormat="false" ht="15" hidden="false" customHeight="false" outlineLevel="0" collapsed="false">
      <c r="A77" s="15" t="s">
        <v>119</v>
      </c>
      <c r="B77" s="16" t="n">
        <v>45996</v>
      </c>
      <c r="C77" s="17" t="n">
        <f aca="false">YEAR(B77)</f>
        <v>2025</v>
      </c>
      <c r="D77" s="17" t="n">
        <f aca="false">MONTH(B77)</f>
        <v>12</v>
      </c>
      <c r="E77" s="15" t="s">
        <v>33</v>
      </c>
      <c r="F77" s="15" t="s">
        <v>34</v>
      </c>
      <c r="G77" s="15" t="s">
        <v>55</v>
      </c>
      <c r="H77" s="15" t="s">
        <v>30</v>
      </c>
      <c r="I77" s="15" t="n">
        <v>1</v>
      </c>
      <c r="J77" s="18" t="n">
        <v>2799</v>
      </c>
      <c r="K77" s="18" t="n">
        <v>2100</v>
      </c>
      <c r="L77" s="19" t="n">
        <f aca="false">I77*J77</f>
        <v>2799</v>
      </c>
      <c r="M77" s="19" t="n">
        <f aca="false">L77-I77*K77</f>
        <v>699</v>
      </c>
    </row>
    <row r="78" customFormat="false" ht="15" hidden="false" customHeight="false" outlineLevel="0" collapsed="false">
      <c r="A78" s="15" t="s">
        <v>120</v>
      </c>
      <c r="B78" s="16" t="n">
        <v>45382</v>
      </c>
      <c r="C78" s="17" t="n">
        <f aca="false">YEAR(B78)</f>
        <v>2024</v>
      </c>
      <c r="D78" s="17" t="n">
        <f aca="false">MONTH(B78)</f>
        <v>3</v>
      </c>
      <c r="E78" s="15" t="s">
        <v>48</v>
      </c>
      <c r="F78" s="15" t="s">
        <v>28</v>
      </c>
      <c r="G78" s="15" t="s">
        <v>29</v>
      </c>
      <c r="H78" s="15" t="s">
        <v>30</v>
      </c>
      <c r="I78" s="15" t="n">
        <v>1</v>
      </c>
      <c r="J78" s="18" t="n">
        <v>149</v>
      </c>
      <c r="K78" s="18" t="n">
        <v>60</v>
      </c>
      <c r="L78" s="19" t="n">
        <f aca="false">I78*J78</f>
        <v>149</v>
      </c>
      <c r="M78" s="19" t="n">
        <f aca="false">L78-I78*K78</f>
        <v>89</v>
      </c>
    </row>
    <row r="79" customFormat="false" ht="15" hidden="false" customHeight="false" outlineLevel="0" collapsed="false">
      <c r="A79" s="15" t="s">
        <v>121</v>
      </c>
      <c r="B79" s="16" t="n">
        <v>45562</v>
      </c>
      <c r="C79" s="17" t="n">
        <f aca="false">YEAR(B79)</f>
        <v>2024</v>
      </c>
      <c r="D79" s="17" t="n">
        <f aca="false">MONTH(B79)</f>
        <v>9</v>
      </c>
      <c r="E79" s="15" t="s">
        <v>27</v>
      </c>
      <c r="F79" s="15" t="s">
        <v>28</v>
      </c>
      <c r="G79" s="15" t="s">
        <v>43</v>
      </c>
      <c r="H79" s="15" t="s">
        <v>50</v>
      </c>
      <c r="I79" s="15" t="n">
        <v>4</v>
      </c>
      <c r="J79" s="18" t="n">
        <v>100</v>
      </c>
      <c r="K79" s="18" t="n">
        <v>88</v>
      </c>
      <c r="L79" s="19" t="n">
        <f aca="false">I79*J79</f>
        <v>400</v>
      </c>
      <c r="M79" s="19" t="n">
        <f aca="false">L79-I79*K79</f>
        <v>48</v>
      </c>
    </row>
    <row r="80" customFormat="false" ht="15" hidden="false" customHeight="false" outlineLevel="0" collapsed="false">
      <c r="A80" s="15" t="s">
        <v>122</v>
      </c>
      <c r="B80" s="16" t="n">
        <v>45719</v>
      </c>
      <c r="C80" s="17" t="n">
        <f aca="false">YEAR(B80)</f>
        <v>2025</v>
      </c>
      <c r="D80" s="17" t="n">
        <f aca="false">MONTH(B80)</f>
        <v>3</v>
      </c>
      <c r="E80" s="15" t="s">
        <v>27</v>
      </c>
      <c r="F80" s="15" t="s">
        <v>28</v>
      </c>
      <c r="G80" s="15" t="s">
        <v>29</v>
      </c>
      <c r="H80" s="15" t="s">
        <v>30</v>
      </c>
      <c r="I80" s="15" t="n">
        <v>3</v>
      </c>
      <c r="J80" s="18" t="n">
        <v>100</v>
      </c>
      <c r="K80" s="18" t="n">
        <v>88</v>
      </c>
      <c r="L80" s="19" t="n">
        <f aca="false">I80*J80</f>
        <v>300</v>
      </c>
      <c r="M80" s="19" t="n">
        <f aca="false">L80-I80*K80</f>
        <v>36</v>
      </c>
    </row>
    <row r="81" customFormat="false" ht="15" hidden="false" customHeight="false" outlineLevel="0" collapsed="false">
      <c r="A81" s="15" t="s">
        <v>123</v>
      </c>
      <c r="B81" s="16" t="n">
        <v>46018</v>
      </c>
      <c r="C81" s="17" t="n">
        <f aca="false">YEAR(B81)</f>
        <v>2025</v>
      </c>
      <c r="D81" s="17" t="n">
        <f aca="false">MONTH(B81)</f>
        <v>12</v>
      </c>
      <c r="E81" s="15" t="s">
        <v>37</v>
      </c>
      <c r="F81" s="15" t="s">
        <v>38</v>
      </c>
      <c r="G81" s="15" t="s">
        <v>35</v>
      </c>
      <c r="H81" s="15" t="s">
        <v>30</v>
      </c>
      <c r="I81" s="15" t="n">
        <v>1</v>
      </c>
      <c r="J81" s="18" t="n">
        <v>449</v>
      </c>
      <c r="K81" s="18" t="n">
        <v>260</v>
      </c>
      <c r="L81" s="19" t="n">
        <f aca="false">I81*J81</f>
        <v>449</v>
      </c>
      <c r="M81" s="19" t="n">
        <f aca="false">L81-I81*K81</f>
        <v>189</v>
      </c>
    </row>
    <row r="82" customFormat="false" ht="15" hidden="false" customHeight="false" outlineLevel="0" collapsed="false">
      <c r="A82" s="15" t="s">
        <v>124</v>
      </c>
      <c r="B82" s="16" t="n">
        <v>45477</v>
      </c>
      <c r="C82" s="17" t="n">
        <f aca="false">YEAR(B82)</f>
        <v>2024</v>
      </c>
      <c r="D82" s="17" t="n">
        <f aca="false">MONTH(B82)</f>
        <v>7</v>
      </c>
      <c r="E82" s="15" t="s">
        <v>33</v>
      </c>
      <c r="F82" s="15" t="s">
        <v>34</v>
      </c>
      <c r="G82" s="15" t="s">
        <v>29</v>
      </c>
      <c r="H82" s="15" t="s">
        <v>40</v>
      </c>
      <c r="I82" s="15" t="n">
        <v>2</v>
      </c>
      <c r="J82" s="18" t="n">
        <v>2799</v>
      </c>
      <c r="K82" s="18" t="n">
        <v>2100</v>
      </c>
      <c r="L82" s="19" t="n">
        <f aca="false">I82*J82</f>
        <v>5598</v>
      </c>
      <c r="M82" s="19" t="n">
        <f aca="false">L82-I82*K82</f>
        <v>1398</v>
      </c>
    </row>
    <row r="83" customFormat="false" ht="15" hidden="false" customHeight="false" outlineLevel="0" collapsed="false">
      <c r="A83" s="15" t="s">
        <v>125</v>
      </c>
      <c r="B83" s="16" t="n">
        <v>45502</v>
      </c>
      <c r="C83" s="17" t="n">
        <f aca="false">YEAR(B83)</f>
        <v>2024</v>
      </c>
      <c r="D83" s="17" t="n">
        <f aca="false">MONTH(B83)</f>
        <v>7</v>
      </c>
      <c r="E83" s="15" t="s">
        <v>37</v>
      </c>
      <c r="F83" s="15" t="s">
        <v>38</v>
      </c>
      <c r="G83" s="15" t="s">
        <v>55</v>
      </c>
      <c r="H83" s="15" t="s">
        <v>50</v>
      </c>
      <c r="I83" s="15" t="n">
        <v>2</v>
      </c>
      <c r="J83" s="18" t="n">
        <v>449</v>
      </c>
      <c r="K83" s="18" t="n">
        <v>260</v>
      </c>
      <c r="L83" s="19" t="n">
        <f aca="false">I83*J83</f>
        <v>898</v>
      </c>
      <c r="M83" s="19" t="n">
        <f aca="false">L83-I83*K83</f>
        <v>378</v>
      </c>
    </row>
    <row r="84" customFormat="false" ht="15" hidden="false" customHeight="false" outlineLevel="0" collapsed="false">
      <c r="A84" s="15" t="s">
        <v>126</v>
      </c>
      <c r="B84" s="16" t="n">
        <v>45548</v>
      </c>
      <c r="C84" s="17" t="n">
        <f aca="false">YEAR(B84)</f>
        <v>2024</v>
      </c>
      <c r="D84" s="17" t="n">
        <f aca="false">MONTH(B84)</f>
        <v>9</v>
      </c>
      <c r="E84" s="15" t="s">
        <v>62</v>
      </c>
      <c r="F84" s="15" t="s">
        <v>34</v>
      </c>
      <c r="G84" s="15" t="s">
        <v>29</v>
      </c>
      <c r="H84" s="15" t="s">
        <v>40</v>
      </c>
      <c r="I84" s="15" t="n">
        <v>1</v>
      </c>
      <c r="J84" s="18" t="n">
        <v>4499</v>
      </c>
      <c r="K84" s="18" t="n">
        <v>3400</v>
      </c>
      <c r="L84" s="19" t="n">
        <f aca="false">I84*J84</f>
        <v>4499</v>
      </c>
      <c r="M84" s="19" t="n">
        <f aca="false">L84-I84*K84</f>
        <v>1099</v>
      </c>
    </row>
    <row r="85" customFormat="false" ht="15" hidden="false" customHeight="false" outlineLevel="0" collapsed="false">
      <c r="A85" s="15" t="s">
        <v>127</v>
      </c>
      <c r="B85" s="16" t="n">
        <v>45486</v>
      </c>
      <c r="C85" s="17" t="n">
        <f aca="false">YEAR(B85)</f>
        <v>2024</v>
      </c>
      <c r="D85" s="17" t="n">
        <f aca="false">MONTH(B85)</f>
        <v>7</v>
      </c>
      <c r="E85" s="15" t="s">
        <v>57</v>
      </c>
      <c r="F85" s="15" t="s">
        <v>38</v>
      </c>
      <c r="G85" s="15" t="s">
        <v>35</v>
      </c>
      <c r="H85" s="15" t="s">
        <v>30</v>
      </c>
      <c r="I85" s="15" t="n">
        <v>2</v>
      </c>
      <c r="J85" s="18" t="n">
        <v>699</v>
      </c>
      <c r="K85" s="18" t="n">
        <v>420</v>
      </c>
      <c r="L85" s="19" t="n">
        <f aca="false">I85*J85</f>
        <v>1398</v>
      </c>
      <c r="M85" s="19" t="n">
        <f aca="false">L85-I85*K85</f>
        <v>558</v>
      </c>
    </row>
    <row r="86" customFormat="false" ht="15" hidden="false" customHeight="false" outlineLevel="0" collapsed="false">
      <c r="A86" s="15" t="s">
        <v>128</v>
      </c>
      <c r="B86" s="16" t="n">
        <v>45957</v>
      </c>
      <c r="C86" s="17" t="n">
        <f aca="false">YEAR(B86)</f>
        <v>2025</v>
      </c>
      <c r="D86" s="17" t="n">
        <f aca="false">MONTH(B86)</f>
        <v>10</v>
      </c>
      <c r="E86" s="15" t="s">
        <v>37</v>
      </c>
      <c r="F86" s="15" t="s">
        <v>38</v>
      </c>
      <c r="G86" s="15" t="s">
        <v>29</v>
      </c>
      <c r="H86" s="15" t="s">
        <v>50</v>
      </c>
      <c r="I86" s="15" t="n">
        <v>4</v>
      </c>
      <c r="J86" s="18" t="n">
        <v>449</v>
      </c>
      <c r="K86" s="18" t="n">
        <v>260</v>
      </c>
      <c r="L86" s="19" t="n">
        <f aca="false">I86*J86</f>
        <v>1796</v>
      </c>
      <c r="M86" s="19" t="n">
        <f aca="false">L86-I86*K86</f>
        <v>756</v>
      </c>
    </row>
    <row r="87" customFormat="false" ht="15" hidden="false" customHeight="false" outlineLevel="0" collapsed="false">
      <c r="A87" s="15" t="s">
        <v>129</v>
      </c>
      <c r="B87" s="16" t="n">
        <v>45810</v>
      </c>
      <c r="C87" s="17" t="n">
        <f aca="false">YEAR(B87)</f>
        <v>2025</v>
      </c>
      <c r="D87" s="17" t="n">
        <f aca="false">MONTH(B87)</f>
        <v>6</v>
      </c>
      <c r="E87" s="15" t="s">
        <v>37</v>
      </c>
      <c r="F87" s="15" t="s">
        <v>38</v>
      </c>
      <c r="G87" s="15" t="s">
        <v>35</v>
      </c>
      <c r="H87" s="15" t="s">
        <v>30</v>
      </c>
      <c r="I87" s="15" t="n">
        <v>2</v>
      </c>
      <c r="J87" s="18" t="n">
        <v>449</v>
      </c>
      <c r="K87" s="18" t="n">
        <v>260</v>
      </c>
      <c r="L87" s="19" t="n">
        <f aca="false">I87*J87</f>
        <v>898</v>
      </c>
      <c r="M87" s="19" t="n">
        <f aca="false">L87-I87*K87</f>
        <v>378</v>
      </c>
    </row>
    <row r="88" customFormat="false" ht="15" hidden="false" customHeight="false" outlineLevel="0" collapsed="false">
      <c r="A88" s="15" t="s">
        <v>130</v>
      </c>
      <c r="B88" s="16" t="n">
        <v>46015</v>
      </c>
      <c r="C88" s="17" t="n">
        <f aca="false">YEAR(B88)</f>
        <v>2025</v>
      </c>
      <c r="D88" s="17" t="n">
        <f aca="false">MONTH(B88)</f>
        <v>12</v>
      </c>
      <c r="E88" s="15" t="s">
        <v>48</v>
      </c>
      <c r="F88" s="15" t="s">
        <v>28</v>
      </c>
      <c r="G88" s="15" t="s">
        <v>29</v>
      </c>
      <c r="H88" s="15" t="s">
        <v>30</v>
      </c>
      <c r="I88" s="15" t="n">
        <v>2</v>
      </c>
      <c r="J88" s="18" t="n">
        <v>149</v>
      </c>
      <c r="K88" s="18" t="n">
        <v>60</v>
      </c>
      <c r="L88" s="19" t="n">
        <f aca="false">I88*J88</f>
        <v>298</v>
      </c>
      <c r="M88" s="19" t="n">
        <f aca="false">L88-I88*K88</f>
        <v>178</v>
      </c>
    </row>
    <row r="89" customFormat="false" ht="15" hidden="false" customHeight="false" outlineLevel="0" collapsed="false">
      <c r="A89" s="15" t="s">
        <v>131</v>
      </c>
      <c r="B89" s="16" t="n">
        <v>45347</v>
      </c>
      <c r="C89" s="17" t="n">
        <f aca="false">YEAR(B89)</f>
        <v>2024</v>
      </c>
      <c r="D89" s="17" t="n">
        <f aca="false">MONTH(B89)</f>
        <v>2</v>
      </c>
      <c r="E89" s="15" t="s">
        <v>27</v>
      </c>
      <c r="F89" s="15" t="s">
        <v>28</v>
      </c>
      <c r="G89" s="15" t="s">
        <v>39</v>
      </c>
      <c r="H89" s="15" t="s">
        <v>50</v>
      </c>
      <c r="I89" s="15" t="n">
        <v>1</v>
      </c>
      <c r="J89" s="18" t="n">
        <v>100</v>
      </c>
      <c r="K89" s="18" t="n">
        <v>88</v>
      </c>
      <c r="L89" s="19" t="n">
        <f aca="false">I89*J89</f>
        <v>100</v>
      </c>
      <c r="M89" s="19" t="n">
        <f aca="false">L89-I89*K89</f>
        <v>12</v>
      </c>
    </row>
    <row r="90" customFormat="false" ht="15" hidden="false" customHeight="false" outlineLevel="0" collapsed="false">
      <c r="A90" s="15" t="s">
        <v>132</v>
      </c>
      <c r="B90" s="16" t="n">
        <v>45553</v>
      </c>
      <c r="C90" s="17" t="n">
        <f aca="false">YEAR(B90)</f>
        <v>2024</v>
      </c>
      <c r="D90" s="17" t="n">
        <f aca="false">MONTH(B90)</f>
        <v>9</v>
      </c>
      <c r="E90" s="15" t="s">
        <v>37</v>
      </c>
      <c r="F90" s="15" t="s">
        <v>38</v>
      </c>
      <c r="G90" s="15" t="s">
        <v>39</v>
      </c>
      <c r="H90" s="15" t="s">
        <v>50</v>
      </c>
      <c r="I90" s="15" t="n">
        <v>1</v>
      </c>
      <c r="J90" s="18" t="n">
        <v>449</v>
      </c>
      <c r="K90" s="18" t="n">
        <v>260</v>
      </c>
      <c r="L90" s="19" t="n">
        <f aca="false">I90*J90</f>
        <v>449</v>
      </c>
      <c r="M90" s="19" t="n">
        <f aca="false">L90-I90*K90</f>
        <v>189</v>
      </c>
    </row>
    <row r="91" customFormat="false" ht="15" hidden="false" customHeight="false" outlineLevel="0" collapsed="false">
      <c r="A91" s="15" t="s">
        <v>133</v>
      </c>
      <c r="B91" s="16" t="n">
        <v>45810</v>
      </c>
      <c r="C91" s="17" t="n">
        <f aca="false">YEAR(B91)</f>
        <v>2025</v>
      </c>
      <c r="D91" s="17" t="n">
        <f aca="false">MONTH(B91)</f>
        <v>6</v>
      </c>
      <c r="E91" s="15" t="s">
        <v>48</v>
      </c>
      <c r="F91" s="15" t="s">
        <v>28</v>
      </c>
      <c r="G91" s="15" t="s">
        <v>29</v>
      </c>
      <c r="H91" s="15" t="s">
        <v>50</v>
      </c>
      <c r="I91" s="15" t="n">
        <v>3</v>
      </c>
      <c r="J91" s="18" t="n">
        <v>149</v>
      </c>
      <c r="K91" s="18" t="n">
        <v>60</v>
      </c>
      <c r="L91" s="19" t="n">
        <f aca="false">I91*J91</f>
        <v>447</v>
      </c>
      <c r="M91" s="19" t="n">
        <f aca="false">L91-I91*K91</f>
        <v>267</v>
      </c>
    </row>
    <row r="92" customFormat="false" ht="15" hidden="false" customHeight="false" outlineLevel="0" collapsed="false">
      <c r="A92" s="15" t="s">
        <v>134</v>
      </c>
      <c r="B92" s="16" t="n">
        <v>45338</v>
      </c>
      <c r="C92" s="17" t="n">
        <f aca="false">YEAR(B92)</f>
        <v>2024</v>
      </c>
      <c r="D92" s="17" t="n">
        <f aca="false">MONTH(B92)</f>
        <v>2</v>
      </c>
      <c r="E92" s="15" t="s">
        <v>37</v>
      </c>
      <c r="F92" s="15" t="s">
        <v>38</v>
      </c>
      <c r="G92" s="15" t="s">
        <v>55</v>
      </c>
      <c r="H92" s="15" t="s">
        <v>30</v>
      </c>
      <c r="I92" s="15" t="n">
        <v>2</v>
      </c>
      <c r="J92" s="18" t="n">
        <v>449</v>
      </c>
      <c r="K92" s="18" t="n">
        <v>260</v>
      </c>
      <c r="L92" s="19" t="n">
        <f aca="false">I92*J92</f>
        <v>898</v>
      </c>
      <c r="M92" s="19" t="n">
        <f aca="false">L92-I92*K92</f>
        <v>378</v>
      </c>
    </row>
    <row r="93" customFormat="false" ht="15" hidden="false" customHeight="false" outlineLevel="0" collapsed="false">
      <c r="A93" s="15" t="s">
        <v>135</v>
      </c>
      <c r="B93" s="16" t="n">
        <v>45664</v>
      </c>
      <c r="C93" s="17" t="n">
        <f aca="false">YEAR(B93)</f>
        <v>2025</v>
      </c>
      <c r="D93" s="17" t="n">
        <f aca="false">MONTH(B93)</f>
        <v>1</v>
      </c>
      <c r="E93" s="15" t="s">
        <v>27</v>
      </c>
      <c r="F93" s="15" t="s">
        <v>28</v>
      </c>
      <c r="G93" s="15" t="s">
        <v>39</v>
      </c>
      <c r="H93" s="15" t="s">
        <v>50</v>
      </c>
      <c r="I93" s="15" t="n">
        <v>3</v>
      </c>
      <c r="J93" s="18" t="n">
        <v>100</v>
      </c>
      <c r="K93" s="18" t="n">
        <v>88</v>
      </c>
      <c r="L93" s="19" t="n">
        <f aca="false">I93*J93</f>
        <v>300</v>
      </c>
      <c r="M93" s="19" t="n">
        <f aca="false">L93-I93*K93</f>
        <v>36</v>
      </c>
    </row>
    <row r="94" customFormat="false" ht="15" hidden="false" customHeight="false" outlineLevel="0" collapsed="false">
      <c r="A94" s="15" t="s">
        <v>136</v>
      </c>
      <c r="B94" s="16" t="n">
        <v>45608</v>
      </c>
      <c r="C94" s="17" t="n">
        <f aca="false">YEAR(B94)</f>
        <v>2024</v>
      </c>
      <c r="D94" s="17" t="n">
        <f aca="false">MONTH(B94)</f>
        <v>11</v>
      </c>
      <c r="E94" s="15" t="s">
        <v>37</v>
      </c>
      <c r="F94" s="15" t="s">
        <v>38</v>
      </c>
      <c r="G94" s="15" t="s">
        <v>43</v>
      </c>
      <c r="H94" s="15" t="s">
        <v>30</v>
      </c>
      <c r="I94" s="15" t="n">
        <v>2</v>
      </c>
      <c r="J94" s="18" t="n">
        <v>449</v>
      </c>
      <c r="K94" s="18" t="n">
        <v>260</v>
      </c>
      <c r="L94" s="19" t="n">
        <f aca="false">I94*J94</f>
        <v>898</v>
      </c>
      <c r="M94" s="19" t="n">
        <f aca="false">L94-I94*K94</f>
        <v>378</v>
      </c>
    </row>
    <row r="95" customFormat="false" ht="15" hidden="false" customHeight="false" outlineLevel="0" collapsed="false">
      <c r="A95" s="15" t="s">
        <v>137</v>
      </c>
      <c r="B95" s="16" t="n">
        <v>45778</v>
      </c>
      <c r="C95" s="17" t="n">
        <f aca="false">YEAR(B95)</f>
        <v>2025</v>
      </c>
      <c r="D95" s="17" t="n">
        <f aca="false">MONTH(B95)</f>
        <v>5</v>
      </c>
      <c r="E95" s="15" t="s">
        <v>37</v>
      </c>
      <c r="F95" s="15" t="s">
        <v>38</v>
      </c>
      <c r="G95" s="15" t="s">
        <v>39</v>
      </c>
      <c r="H95" s="15" t="s">
        <v>50</v>
      </c>
      <c r="I95" s="15" t="n">
        <v>2</v>
      </c>
      <c r="J95" s="18" t="n">
        <v>449</v>
      </c>
      <c r="K95" s="18" t="n">
        <v>260</v>
      </c>
      <c r="L95" s="19" t="n">
        <f aca="false">I95*J95</f>
        <v>898</v>
      </c>
      <c r="M95" s="19" t="n">
        <f aca="false">L95-I95*K95</f>
        <v>378</v>
      </c>
    </row>
    <row r="96" customFormat="false" ht="15" hidden="false" customHeight="false" outlineLevel="0" collapsed="false">
      <c r="A96" s="15" t="s">
        <v>138</v>
      </c>
      <c r="B96" s="16" t="n">
        <v>45385</v>
      </c>
      <c r="C96" s="17" t="n">
        <f aca="false">YEAR(B96)</f>
        <v>2024</v>
      </c>
      <c r="D96" s="17" t="n">
        <f aca="false">MONTH(B96)</f>
        <v>4</v>
      </c>
      <c r="E96" s="15" t="s">
        <v>37</v>
      </c>
      <c r="F96" s="15" t="s">
        <v>38</v>
      </c>
      <c r="G96" s="15" t="s">
        <v>39</v>
      </c>
      <c r="H96" s="15" t="s">
        <v>40</v>
      </c>
      <c r="I96" s="15" t="n">
        <v>1</v>
      </c>
      <c r="J96" s="18" t="n">
        <v>449</v>
      </c>
      <c r="K96" s="18" t="n">
        <v>260</v>
      </c>
      <c r="L96" s="19" t="n">
        <f aca="false">I96*J96</f>
        <v>449</v>
      </c>
      <c r="M96" s="19" t="n">
        <f aca="false">L96-I96*K96</f>
        <v>189</v>
      </c>
    </row>
    <row r="97" customFormat="false" ht="15" hidden="false" customHeight="false" outlineLevel="0" collapsed="false">
      <c r="A97" s="15" t="s">
        <v>139</v>
      </c>
      <c r="B97" s="16" t="n">
        <v>45695</v>
      </c>
      <c r="C97" s="17" t="n">
        <f aca="false">YEAR(B97)</f>
        <v>2025</v>
      </c>
      <c r="D97" s="17" t="n">
        <f aca="false">MONTH(B97)</f>
        <v>2</v>
      </c>
      <c r="E97" s="15" t="s">
        <v>62</v>
      </c>
      <c r="F97" s="15" t="s">
        <v>34</v>
      </c>
      <c r="G97" s="15" t="s">
        <v>29</v>
      </c>
      <c r="H97" s="15" t="s">
        <v>30</v>
      </c>
      <c r="I97" s="15" t="n">
        <v>2</v>
      </c>
      <c r="J97" s="18" t="n">
        <v>4499</v>
      </c>
      <c r="K97" s="18" t="n">
        <v>3400</v>
      </c>
      <c r="L97" s="19" t="n">
        <f aca="false">I97*J97</f>
        <v>8998</v>
      </c>
      <c r="M97" s="19" t="n">
        <f aca="false">L97-I97*K97</f>
        <v>2198</v>
      </c>
    </row>
    <row r="98" customFormat="false" ht="15" hidden="false" customHeight="false" outlineLevel="0" collapsed="false">
      <c r="A98" s="15" t="s">
        <v>140</v>
      </c>
      <c r="B98" s="16" t="n">
        <v>45833</v>
      </c>
      <c r="C98" s="17" t="n">
        <f aca="false">YEAR(B98)</f>
        <v>2025</v>
      </c>
      <c r="D98" s="17" t="n">
        <f aca="false">MONTH(B98)</f>
        <v>6</v>
      </c>
      <c r="E98" s="15" t="s">
        <v>27</v>
      </c>
      <c r="F98" s="15" t="s">
        <v>28</v>
      </c>
      <c r="G98" s="15" t="s">
        <v>29</v>
      </c>
      <c r="H98" s="15" t="s">
        <v>50</v>
      </c>
      <c r="I98" s="15" t="n">
        <v>2</v>
      </c>
      <c r="J98" s="18" t="n">
        <v>100</v>
      </c>
      <c r="K98" s="18" t="n">
        <v>88</v>
      </c>
      <c r="L98" s="19" t="n">
        <f aca="false">I98*J98</f>
        <v>200</v>
      </c>
      <c r="M98" s="19" t="n">
        <f aca="false">L98-I98*K98</f>
        <v>24</v>
      </c>
    </row>
    <row r="99" customFormat="false" ht="15" hidden="false" customHeight="false" outlineLevel="0" collapsed="false">
      <c r="A99" s="15" t="s">
        <v>141</v>
      </c>
      <c r="B99" s="16" t="n">
        <v>45902</v>
      </c>
      <c r="C99" s="17" t="n">
        <f aca="false">YEAR(B99)</f>
        <v>2025</v>
      </c>
      <c r="D99" s="17" t="n">
        <f aca="false">MONTH(B99)</f>
        <v>9</v>
      </c>
      <c r="E99" s="15" t="s">
        <v>37</v>
      </c>
      <c r="F99" s="15" t="s">
        <v>38</v>
      </c>
      <c r="G99" s="15" t="s">
        <v>29</v>
      </c>
      <c r="H99" s="15" t="s">
        <v>40</v>
      </c>
      <c r="I99" s="15" t="n">
        <v>3</v>
      </c>
      <c r="J99" s="18" t="n">
        <v>449</v>
      </c>
      <c r="K99" s="18" t="n">
        <v>260</v>
      </c>
      <c r="L99" s="19" t="n">
        <f aca="false">I99*J99</f>
        <v>1347</v>
      </c>
      <c r="M99" s="19" t="n">
        <f aca="false">L99-I99*K99</f>
        <v>567</v>
      </c>
    </row>
    <row r="100" customFormat="false" ht="15" hidden="false" customHeight="false" outlineLevel="0" collapsed="false">
      <c r="A100" s="15" t="s">
        <v>142</v>
      </c>
      <c r="B100" s="16" t="n">
        <v>45582</v>
      </c>
      <c r="C100" s="17" t="n">
        <f aca="false">YEAR(B100)</f>
        <v>2024</v>
      </c>
      <c r="D100" s="17" t="n">
        <f aca="false">MONTH(B100)</f>
        <v>10</v>
      </c>
      <c r="E100" s="15" t="s">
        <v>48</v>
      </c>
      <c r="F100" s="15" t="s">
        <v>28</v>
      </c>
      <c r="G100" s="15" t="s">
        <v>43</v>
      </c>
      <c r="H100" s="15" t="s">
        <v>50</v>
      </c>
      <c r="I100" s="15" t="n">
        <v>2</v>
      </c>
      <c r="J100" s="18" t="n">
        <v>149</v>
      </c>
      <c r="K100" s="18" t="n">
        <v>60</v>
      </c>
      <c r="L100" s="19" t="n">
        <f aca="false">I100*J100</f>
        <v>298</v>
      </c>
      <c r="M100" s="19" t="n">
        <f aca="false">L100-I100*K100</f>
        <v>178</v>
      </c>
    </row>
    <row r="101" customFormat="false" ht="15" hidden="false" customHeight="false" outlineLevel="0" collapsed="false">
      <c r="A101" s="15" t="s">
        <v>143</v>
      </c>
      <c r="B101" s="16" t="n">
        <v>45817</v>
      </c>
      <c r="C101" s="17" t="n">
        <f aca="false">YEAR(B101)</f>
        <v>2025</v>
      </c>
      <c r="D101" s="17" t="n">
        <f aca="false">MONTH(B101)</f>
        <v>6</v>
      </c>
      <c r="E101" s="15" t="s">
        <v>48</v>
      </c>
      <c r="F101" s="15" t="s">
        <v>28</v>
      </c>
      <c r="G101" s="15" t="s">
        <v>35</v>
      </c>
      <c r="H101" s="15" t="s">
        <v>50</v>
      </c>
      <c r="I101" s="15" t="n">
        <v>2</v>
      </c>
      <c r="J101" s="18" t="n">
        <v>149</v>
      </c>
      <c r="K101" s="18" t="n">
        <v>60</v>
      </c>
      <c r="L101" s="19" t="n">
        <f aca="false">I101*J101</f>
        <v>298</v>
      </c>
      <c r="M101" s="19" t="n">
        <f aca="false">L101-I101*K101</f>
        <v>178</v>
      </c>
    </row>
    <row r="102" customFormat="false" ht="15" hidden="false" customHeight="false" outlineLevel="0" collapsed="false">
      <c r="A102" s="15" t="s">
        <v>144</v>
      </c>
      <c r="B102" s="16" t="n">
        <v>45874</v>
      </c>
      <c r="C102" s="17" t="n">
        <f aca="false">YEAR(B102)</f>
        <v>2025</v>
      </c>
      <c r="D102" s="17" t="n">
        <f aca="false">MONTH(B102)</f>
        <v>8</v>
      </c>
      <c r="E102" s="15" t="s">
        <v>27</v>
      </c>
      <c r="F102" s="15" t="s">
        <v>28</v>
      </c>
      <c r="G102" s="15" t="s">
        <v>35</v>
      </c>
      <c r="H102" s="15" t="s">
        <v>40</v>
      </c>
      <c r="I102" s="15" t="n">
        <v>1</v>
      </c>
      <c r="J102" s="18" t="n">
        <v>100</v>
      </c>
      <c r="K102" s="18" t="n">
        <v>88</v>
      </c>
      <c r="L102" s="19" t="n">
        <f aca="false">I102*J102</f>
        <v>100</v>
      </c>
      <c r="M102" s="19" t="n">
        <f aca="false">L102-I102*K102</f>
        <v>12</v>
      </c>
    </row>
    <row r="103" customFormat="false" ht="15" hidden="false" customHeight="false" outlineLevel="0" collapsed="false">
      <c r="A103" s="15" t="s">
        <v>145</v>
      </c>
      <c r="B103" s="16" t="n">
        <v>46020</v>
      </c>
      <c r="C103" s="17" t="n">
        <f aca="false">YEAR(B103)</f>
        <v>2025</v>
      </c>
      <c r="D103" s="17" t="n">
        <f aca="false">MONTH(B103)</f>
        <v>12</v>
      </c>
      <c r="E103" s="15" t="s">
        <v>48</v>
      </c>
      <c r="F103" s="15" t="s">
        <v>28</v>
      </c>
      <c r="G103" s="15" t="s">
        <v>39</v>
      </c>
      <c r="H103" s="15" t="s">
        <v>30</v>
      </c>
      <c r="I103" s="15" t="n">
        <v>2</v>
      </c>
      <c r="J103" s="18" t="n">
        <v>149</v>
      </c>
      <c r="K103" s="18" t="n">
        <v>60</v>
      </c>
      <c r="L103" s="19" t="n">
        <f aca="false">I103*J103</f>
        <v>298</v>
      </c>
      <c r="M103" s="19" t="n">
        <f aca="false">L103-I103*K103</f>
        <v>178</v>
      </c>
    </row>
    <row r="104" customFormat="false" ht="15" hidden="false" customHeight="false" outlineLevel="0" collapsed="false">
      <c r="A104" s="15" t="s">
        <v>146</v>
      </c>
      <c r="B104" s="16" t="n">
        <v>45944</v>
      </c>
      <c r="C104" s="17" t="n">
        <f aca="false">YEAR(B104)</f>
        <v>2025</v>
      </c>
      <c r="D104" s="17" t="n">
        <f aca="false">MONTH(B104)</f>
        <v>10</v>
      </c>
      <c r="E104" s="15" t="s">
        <v>37</v>
      </c>
      <c r="F104" s="15" t="s">
        <v>38</v>
      </c>
      <c r="G104" s="15" t="s">
        <v>55</v>
      </c>
      <c r="H104" s="15" t="s">
        <v>40</v>
      </c>
      <c r="I104" s="15" t="n">
        <v>1</v>
      </c>
      <c r="J104" s="18" t="n">
        <v>449</v>
      </c>
      <c r="K104" s="18" t="n">
        <v>260</v>
      </c>
      <c r="L104" s="19" t="n">
        <f aca="false">I104*J104</f>
        <v>449</v>
      </c>
      <c r="M104" s="19" t="n">
        <f aca="false">L104-I104*K104</f>
        <v>189</v>
      </c>
    </row>
    <row r="105" customFormat="false" ht="15" hidden="false" customHeight="false" outlineLevel="0" collapsed="false">
      <c r="A105" s="15" t="s">
        <v>147</v>
      </c>
      <c r="B105" s="16" t="n">
        <v>45343</v>
      </c>
      <c r="C105" s="17" t="n">
        <f aca="false">YEAR(B105)</f>
        <v>2024</v>
      </c>
      <c r="D105" s="17" t="n">
        <f aca="false">MONTH(B105)</f>
        <v>2</v>
      </c>
      <c r="E105" s="15" t="s">
        <v>48</v>
      </c>
      <c r="F105" s="15" t="s">
        <v>28</v>
      </c>
      <c r="G105" s="15" t="s">
        <v>29</v>
      </c>
      <c r="H105" s="15" t="s">
        <v>30</v>
      </c>
      <c r="I105" s="15" t="n">
        <v>2</v>
      </c>
      <c r="J105" s="18" t="n">
        <v>149</v>
      </c>
      <c r="K105" s="18" t="n">
        <v>60</v>
      </c>
      <c r="L105" s="19" t="n">
        <f aca="false">I105*J105</f>
        <v>298</v>
      </c>
      <c r="M105" s="19" t="n">
        <f aca="false">L105-I105*K105</f>
        <v>178</v>
      </c>
    </row>
    <row r="106" customFormat="false" ht="15" hidden="false" customHeight="false" outlineLevel="0" collapsed="false">
      <c r="A106" s="15" t="s">
        <v>148</v>
      </c>
      <c r="B106" s="16" t="n">
        <v>45363</v>
      </c>
      <c r="C106" s="17" t="n">
        <f aca="false">YEAR(B106)</f>
        <v>2024</v>
      </c>
      <c r="D106" s="17" t="n">
        <f aca="false">MONTH(B106)</f>
        <v>3</v>
      </c>
      <c r="E106" s="15" t="s">
        <v>48</v>
      </c>
      <c r="F106" s="15" t="s">
        <v>28</v>
      </c>
      <c r="G106" s="15" t="s">
        <v>29</v>
      </c>
      <c r="H106" s="15" t="s">
        <v>30</v>
      </c>
      <c r="I106" s="15" t="n">
        <v>1</v>
      </c>
      <c r="J106" s="18" t="n">
        <v>149</v>
      </c>
      <c r="K106" s="18" t="n">
        <v>60</v>
      </c>
      <c r="L106" s="19" t="n">
        <f aca="false">I106*J106</f>
        <v>149</v>
      </c>
      <c r="M106" s="19" t="n">
        <f aca="false">L106-I106*K106</f>
        <v>89</v>
      </c>
    </row>
    <row r="107" customFormat="false" ht="15" hidden="false" customHeight="false" outlineLevel="0" collapsed="false">
      <c r="A107" s="15" t="s">
        <v>149</v>
      </c>
      <c r="B107" s="16" t="n">
        <v>45777</v>
      </c>
      <c r="C107" s="17" t="n">
        <f aca="false">YEAR(B107)</f>
        <v>2025</v>
      </c>
      <c r="D107" s="17" t="n">
        <f aca="false">MONTH(B107)</f>
        <v>4</v>
      </c>
      <c r="E107" s="15" t="s">
        <v>37</v>
      </c>
      <c r="F107" s="15" t="s">
        <v>38</v>
      </c>
      <c r="G107" s="15" t="s">
        <v>35</v>
      </c>
      <c r="H107" s="15" t="s">
        <v>30</v>
      </c>
      <c r="I107" s="15" t="n">
        <v>1</v>
      </c>
      <c r="J107" s="18" t="n">
        <v>449</v>
      </c>
      <c r="K107" s="18" t="n">
        <v>260</v>
      </c>
      <c r="L107" s="19" t="n">
        <f aca="false">I107*J107</f>
        <v>449</v>
      </c>
      <c r="M107" s="19" t="n">
        <f aca="false">L107-I107*K107</f>
        <v>189</v>
      </c>
    </row>
    <row r="108" customFormat="false" ht="15" hidden="false" customHeight="false" outlineLevel="0" collapsed="false">
      <c r="A108" s="15" t="s">
        <v>150</v>
      </c>
      <c r="B108" s="16" t="n">
        <v>45502</v>
      </c>
      <c r="C108" s="17" t="n">
        <f aca="false">YEAR(B108)</f>
        <v>2024</v>
      </c>
      <c r="D108" s="17" t="n">
        <f aca="false">MONTH(B108)</f>
        <v>7</v>
      </c>
      <c r="E108" s="15" t="s">
        <v>37</v>
      </c>
      <c r="F108" s="15" t="s">
        <v>38</v>
      </c>
      <c r="G108" s="15" t="s">
        <v>29</v>
      </c>
      <c r="H108" s="15" t="s">
        <v>30</v>
      </c>
      <c r="I108" s="15" t="n">
        <v>4</v>
      </c>
      <c r="J108" s="18" t="n">
        <v>449</v>
      </c>
      <c r="K108" s="18" t="n">
        <v>260</v>
      </c>
      <c r="L108" s="19" t="n">
        <f aca="false">I108*J108</f>
        <v>1796</v>
      </c>
      <c r="M108" s="19" t="n">
        <f aca="false">L108-I108*K108</f>
        <v>756</v>
      </c>
    </row>
    <row r="109" customFormat="false" ht="15" hidden="false" customHeight="false" outlineLevel="0" collapsed="false">
      <c r="A109" s="15" t="s">
        <v>151</v>
      </c>
      <c r="B109" s="16" t="n">
        <v>45782</v>
      </c>
      <c r="C109" s="17" t="n">
        <f aca="false">YEAR(B109)</f>
        <v>2025</v>
      </c>
      <c r="D109" s="17" t="n">
        <f aca="false">MONTH(B109)</f>
        <v>5</v>
      </c>
      <c r="E109" s="15" t="s">
        <v>27</v>
      </c>
      <c r="F109" s="15" t="s">
        <v>28</v>
      </c>
      <c r="G109" s="15" t="s">
        <v>29</v>
      </c>
      <c r="H109" s="15" t="s">
        <v>40</v>
      </c>
      <c r="I109" s="15" t="n">
        <v>3</v>
      </c>
      <c r="J109" s="18" t="n">
        <v>100</v>
      </c>
      <c r="K109" s="18" t="n">
        <v>88</v>
      </c>
      <c r="L109" s="19" t="n">
        <f aca="false">I109*J109</f>
        <v>300</v>
      </c>
      <c r="M109" s="19" t="n">
        <f aca="false">L109-I109*K109</f>
        <v>36</v>
      </c>
    </row>
    <row r="110" customFormat="false" ht="15" hidden="false" customHeight="false" outlineLevel="0" collapsed="false">
      <c r="A110" s="15" t="s">
        <v>152</v>
      </c>
      <c r="B110" s="16" t="n">
        <v>45950</v>
      </c>
      <c r="C110" s="17" t="n">
        <f aca="false">YEAR(B110)</f>
        <v>2025</v>
      </c>
      <c r="D110" s="17" t="n">
        <f aca="false">MONTH(B110)</f>
        <v>10</v>
      </c>
      <c r="E110" s="15" t="s">
        <v>33</v>
      </c>
      <c r="F110" s="15" t="s">
        <v>34</v>
      </c>
      <c r="G110" s="15" t="s">
        <v>55</v>
      </c>
      <c r="H110" s="15" t="s">
        <v>40</v>
      </c>
      <c r="I110" s="15" t="n">
        <v>1</v>
      </c>
      <c r="J110" s="18" t="n">
        <v>2799</v>
      </c>
      <c r="K110" s="18" t="n">
        <v>2100</v>
      </c>
      <c r="L110" s="19" t="n">
        <f aca="false">I110*J110</f>
        <v>2799</v>
      </c>
      <c r="M110" s="19" t="n">
        <f aca="false">L110-I110*K110</f>
        <v>699</v>
      </c>
    </row>
    <row r="111" customFormat="false" ht="15" hidden="false" customHeight="false" outlineLevel="0" collapsed="false">
      <c r="A111" s="15" t="s">
        <v>153</v>
      </c>
      <c r="B111" s="16" t="n">
        <v>46001</v>
      </c>
      <c r="C111" s="17" t="n">
        <f aca="false">YEAR(B111)</f>
        <v>2025</v>
      </c>
      <c r="D111" s="17" t="n">
        <f aca="false">MONTH(B111)</f>
        <v>12</v>
      </c>
      <c r="E111" s="15" t="s">
        <v>37</v>
      </c>
      <c r="F111" s="15" t="s">
        <v>38</v>
      </c>
      <c r="G111" s="15" t="s">
        <v>43</v>
      </c>
      <c r="H111" s="15" t="s">
        <v>30</v>
      </c>
      <c r="I111" s="15" t="n">
        <v>2</v>
      </c>
      <c r="J111" s="18" t="n">
        <v>449</v>
      </c>
      <c r="K111" s="18" t="n">
        <v>260</v>
      </c>
      <c r="L111" s="19" t="n">
        <f aca="false">I111*J111</f>
        <v>898</v>
      </c>
      <c r="M111" s="19" t="n">
        <f aca="false">L111-I111*K111</f>
        <v>378</v>
      </c>
    </row>
    <row r="112" customFormat="false" ht="15" hidden="false" customHeight="false" outlineLevel="0" collapsed="false">
      <c r="A112" s="15" t="s">
        <v>154</v>
      </c>
      <c r="B112" s="16" t="n">
        <v>45567</v>
      </c>
      <c r="C112" s="17" t="n">
        <f aca="false">YEAR(B112)</f>
        <v>2024</v>
      </c>
      <c r="D112" s="17" t="n">
        <f aca="false">MONTH(B112)</f>
        <v>10</v>
      </c>
      <c r="E112" s="15" t="s">
        <v>27</v>
      </c>
      <c r="F112" s="15" t="s">
        <v>28</v>
      </c>
      <c r="G112" s="15" t="s">
        <v>29</v>
      </c>
      <c r="H112" s="15" t="s">
        <v>50</v>
      </c>
      <c r="I112" s="15" t="n">
        <v>1</v>
      </c>
      <c r="J112" s="18" t="n">
        <v>100</v>
      </c>
      <c r="K112" s="18" t="n">
        <v>88</v>
      </c>
      <c r="L112" s="19" t="n">
        <f aca="false">I112*J112</f>
        <v>100</v>
      </c>
      <c r="M112" s="19" t="n">
        <f aca="false">L112-I112*K112</f>
        <v>12</v>
      </c>
    </row>
    <row r="113" customFormat="false" ht="15" hidden="false" customHeight="false" outlineLevel="0" collapsed="false">
      <c r="A113" s="15" t="s">
        <v>155</v>
      </c>
      <c r="B113" s="16" t="n">
        <v>45589</v>
      </c>
      <c r="C113" s="17" t="n">
        <f aca="false">YEAR(B113)</f>
        <v>2024</v>
      </c>
      <c r="D113" s="17" t="n">
        <f aca="false">MONTH(B113)</f>
        <v>10</v>
      </c>
      <c r="E113" s="15" t="s">
        <v>48</v>
      </c>
      <c r="F113" s="15" t="s">
        <v>28</v>
      </c>
      <c r="G113" s="15" t="s">
        <v>29</v>
      </c>
      <c r="H113" s="15" t="s">
        <v>40</v>
      </c>
      <c r="I113" s="15" t="n">
        <v>3</v>
      </c>
      <c r="J113" s="18" t="n">
        <v>149</v>
      </c>
      <c r="K113" s="18" t="n">
        <v>60</v>
      </c>
      <c r="L113" s="19" t="n">
        <f aca="false">I113*J113</f>
        <v>447</v>
      </c>
      <c r="M113" s="19" t="n">
        <f aca="false">L113-I113*K113</f>
        <v>267</v>
      </c>
    </row>
    <row r="114" customFormat="false" ht="15" hidden="false" customHeight="false" outlineLevel="0" collapsed="false">
      <c r="A114" s="15" t="s">
        <v>156</v>
      </c>
      <c r="B114" s="16" t="n">
        <v>45413</v>
      </c>
      <c r="C114" s="17" t="n">
        <f aca="false">YEAR(B114)</f>
        <v>2024</v>
      </c>
      <c r="D114" s="17" t="n">
        <f aca="false">MONTH(B114)</f>
        <v>5</v>
      </c>
      <c r="E114" s="15" t="s">
        <v>27</v>
      </c>
      <c r="F114" s="15" t="s">
        <v>28</v>
      </c>
      <c r="G114" s="15" t="s">
        <v>55</v>
      </c>
      <c r="H114" s="15" t="s">
        <v>30</v>
      </c>
      <c r="I114" s="15" t="n">
        <v>2</v>
      </c>
      <c r="J114" s="18" t="n">
        <v>100</v>
      </c>
      <c r="K114" s="18" t="n">
        <v>88</v>
      </c>
      <c r="L114" s="19" t="n">
        <f aca="false">I114*J114</f>
        <v>200</v>
      </c>
      <c r="M114" s="19" t="n">
        <f aca="false">L114-I114*K114</f>
        <v>24</v>
      </c>
    </row>
    <row r="115" customFormat="false" ht="15" hidden="false" customHeight="false" outlineLevel="0" collapsed="false">
      <c r="A115" s="15" t="s">
        <v>157</v>
      </c>
      <c r="B115" s="16" t="n">
        <v>45776</v>
      </c>
      <c r="C115" s="17" t="n">
        <f aca="false">YEAR(B115)</f>
        <v>2025</v>
      </c>
      <c r="D115" s="17" t="n">
        <f aca="false">MONTH(B115)</f>
        <v>4</v>
      </c>
      <c r="E115" s="15" t="s">
        <v>62</v>
      </c>
      <c r="F115" s="15" t="s">
        <v>34</v>
      </c>
      <c r="G115" s="15" t="s">
        <v>39</v>
      </c>
      <c r="H115" s="15" t="s">
        <v>40</v>
      </c>
      <c r="I115" s="15" t="n">
        <v>2</v>
      </c>
      <c r="J115" s="18" t="n">
        <v>4499</v>
      </c>
      <c r="K115" s="18" t="n">
        <v>3400</v>
      </c>
      <c r="L115" s="19" t="n">
        <f aca="false">I115*J115</f>
        <v>8998</v>
      </c>
      <c r="M115" s="19" t="n">
        <f aca="false">L115-I115*K115</f>
        <v>2198</v>
      </c>
    </row>
    <row r="116" customFormat="false" ht="15" hidden="false" customHeight="false" outlineLevel="0" collapsed="false">
      <c r="A116" s="15" t="s">
        <v>158</v>
      </c>
      <c r="B116" s="16" t="n">
        <v>45752</v>
      </c>
      <c r="C116" s="17" t="n">
        <f aca="false">YEAR(B116)</f>
        <v>2025</v>
      </c>
      <c r="D116" s="17" t="n">
        <f aca="false">MONTH(B116)</f>
        <v>4</v>
      </c>
      <c r="E116" s="15" t="s">
        <v>27</v>
      </c>
      <c r="F116" s="15" t="s">
        <v>28</v>
      </c>
      <c r="G116" s="15" t="s">
        <v>39</v>
      </c>
      <c r="H116" s="15" t="s">
        <v>50</v>
      </c>
      <c r="I116" s="15" t="n">
        <v>4</v>
      </c>
      <c r="J116" s="18" t="n">
        <v>100</v>
      </c>
      <c r="K116" s="18" t="n">
        <v>88</v>
      </c>
      <c r="L116" s="19" t="n">
        <f aca="false">I116*J116</f>
        <v>400</v>
      </c>
      <c r="M116" s="19" t="n">
        <f aca="false">L116-I116*K116</f>
        <v>48</v>
      </c>
    </row>
    <row r="117" customFormat="false" ht="15" hidden="false" customHeight="false" outlineLevel="0" collapsed="false">
      <c r="A117" s="15" t="s">
        <v>159</v>
      </c>
      <c r="B117" s="16" t="n">
        <v>45507</v>
      </c>
      <c r="C117" s="17" t="n">
        <f aca="false">YEAR(B117)</f>
        <v>2024</v>
      </c>
      <c r="D117" s="17" t="n">
        <f aca="false">MONTH(B117)</f>
        <v>8</v>
      </c>
      <c r="E117" s="15" t="s">
        <v>33</v>
      </c>
      <c r="F117" s="15" t="s">
        <v>34</v>
      </c>
      <c r="G117" s="15" t="s">
        <v>39</v>
      </c>
      <c r="H117" s="15" t="s">
        <v>40</v>
      </c>
      <c r="I117" s="15" t="n">
        <v>1</v>
      </c>
      <c r="J117" s="18" t="n">
        <v>2799</v>
      </c>
      <c r="K117" s="18" t="n">
        <v>2100</v>
      </c>
      <c r="L117" s="19" t="n">
        <f aca="false">I117*J117</f>
        <v>2799</v>
      </c>
      <c r="M117" s="19" t="n">
        <f aca="false">L117-I117*K117</f>
        <v>699</v>
      </c>
    </row>
    <row r="118" customFormat="false" ht="15" hidden="false" customHeight="false" outlineLevel="0" collapsed="false">
      <c r="A118" s="15" t="s">
        <v>160</v>
      </c>
      <c r="B118" s="16" t="n">
        <v>45660</v>
      </c>
      <c r="C118" s="17" t="n">
        <f aca="false">YEAR(B118)</f>
        <v>2025</v>
      </c>
      <c r="D118" s="17" t="n">
        <f aca="false">MONTH(B118)</f>
        <v>1</v>
      </c>
      <c r="E118" s="15" t="s">
        <v>33</v>
      </c>
      <c r="F118" s="15" t="s">
        <v>34</v>
      </c>
      <c r="G118" s="15" t="s">
        <v>35</v>
      </c>
      <c r="H118" s="15" t="s">
        <v>50</v>
      </c>
      <c r="I118" s="15" t="n">
        <v>2</v>
      </c>
      <c r="J118" s="18" t="n">
        <v>2799</v>
      </c>
      <c r="K118" s="18" t="n">
        <v>2100</v>
      </c>
      <c r="L118" s="19" t="n">
        <f aca="false">I118*J118</f>
        <v>5598</v>
      </c>
      <c r="M118" s="19" t="n">
        <f aca="false">L118-I118*K118</f>
        <v>1398</v>
      </c>
    </row>
    <row r="119" customFormat="false" ht="15" hidden="false" customHeight="false" outlineLevel="0" collapsed="false">
      <c r="A119" s="15" t="s">
        <v>161</v>
      </c>
      <c r="B119" s="16" t="n">
        <v>45528</v>
      </c>
      <c r="C119" s="17" t="n">
        <f aca="false">YEAR(B119)</f>
        <v>2024</v>
      </c>
      <c r="D119" s="17" t="n">
        <f aca="false">MONTH(B119)</f>
        <v>8</v>
      </c>
      <c r="E119" s="15" t="s">
        <v>37</v>
      </c>
      <c r="F119" s="15" t="s">
        <v>38</v>
      </c>
      <c r="G119" s="15" t="s">
        <v>55</v>
      </c>
      <c r="H119" s="15" t="s">
        <v>30</v>
      </c>
      <c r="I119" s="15" t="n">
        <v>4</v>
      </c>
      <c r="J119" s="18" t="n">
        <v>449</v>
      </c>
      <c r="K119" s="18" t="n">
        <v>260</v>
      </c>
      <c r="L119" s="19" t="n">
        <f aca="false">I119*J119</f>
        <v>1796</v>
      </c>
      <c r="M119" s="19" t="n">
        <f aca="false">L119-I119*K119</f>
        <v>756</v>
      </c>
    </row>
    <row r="120" customFormat="false" ht="15" hidden="false" customHeight="false" outlineLevel="0" collapsed="false">
      <c r="A120" s="15" t="s">
        <v>162</v>
      </c>
      <c r="B120" s="16" t="n">
        <v>45795</v>
      </c>
      <c r="C120" s="17" t="n">
        <f aca="false">YEAR(B120)</f>
        <v>2025</v>
      </c>
      <c r="D120" s="17" t="n">
        <f aca="false">MONTH(B120)</f>
        <v>5</v>
      </c>
      <c r="E120" s="15" t="s">
        <v>48</v>
      </c>
      <c r="F120" s="15" t="s">
        <v>28</v>
      </c>
      <c r="G120" s="15" t="s">
        <v>55</v>
      </c>
      <c r="H120" s="15" t="s">
        <v>30</v>
      </c>
      <c r="I120" s="15" t="n">
        <v>4</v>
      </c>
      <c r="J120" s="18" t="n">
        <v>149</v>
      </c>
      <c r="K120" s="18" t="n">
        <v>60</v>
      </c>
      <c r="L120" s="19" t="n">
        <f aca="false">I120*J120</f>
        <v>596</v>
      </c>
      <c r="M120" s="19" t="n">
        <f aca="false">L120-I120*K120</f>
        <v>356</v>
      </c>
    </row>
    <row r="121" customFormat="false" ht="15" hidden="false" customHeight="false" outlineLevel="0" collapsed="false">
      <c r="A121" s="15" t="s">
        <v>163</v>
      </c>
      <c r="B121" s="16" t="n">
        <v>45644</v>
      </c>
      <c r="C121" s="17" t="n">
        <f aca="false">YEAR(B121)</f>
        <v>2024</v>
      </c>
      <c r="D121" s="17" t="n">
        <f aca="false">MONTH(B121)</f>
        <v>12</v>
      </c>
      <c r="E121" s="15" t="s">
        <v>37</v>
      </c>
      <c r="F121" s="15" t="s">
        <v>38</v>
      </c>
      <c r="G121" s="15" t="s">
        <v>35</v>
      </c>
      <c r="H121" s="15" t="s">
        <v>30</v>
      </c>
      <c r="I121" s="15" t="n">
        <v>1</v>
      </c>
      <c r="J121" s="18" t="n">
        <v>449</v>
      </c>
      <c r="K121" s="18" t="n">
        <v>260</v>
      </c>
      <c r="L121" s="19" t="n">
        <f aca="false">I121*J121</f>
        <v>449</v>
      </c>
      <c r="M121" s="19" t="n">
        <f aca="false">L121-I121*K121</f>
        <v>189</v>
      </c>
    </row>
    <row r="122" customFormat="false" ht="15" hidden="false" customHeight="false" outlineLevel="0" collapsed="false">
      <c r="A122" s="15" t="s">
        <v>164</v>
      </c>
      <c r="B122" s="16" t="n">
        <v>45638</v>
      </c>
      <c r="C122" s="17" t="n">
        <f aca="false">YEAR(B122)</f>
        <v>2024</v>
      </c>
      <c r="D122" s="17" t="n">
        <f aca="false">MONTH(B122)</f>
        <v>12</v>
      </c>
      <c r="E122" s="15" t="s">
        <v>27</v>
      </c>
      <c r="F122" s="15" t="s">
        <v>28</v>
      </c>
      <c r="G122" s="15" t="s">
        <v>35</v>
      </c>
      <c r="H122" s="15" t="s">
        <v>30</v>
      </c>
      <c r="I122" s="15" t="n">
        <v>1</v>
      </c>
      <c r="J122" s="18" t="n">
        <v>100</v>
      </c>
      <c r="K122" s="18" t="n">
        <v>88</v>
      </c>
      <c r="L122" s="19" t="n">
        <f aca="false">I122*J122</f>
        <v>100</v>
      </c>
      <c r="M122" s="19" t="n">
        <f aca="false">L122-I122*K122</f>
        <v>12</v>
      </c>
    </row>
    <row r="123" customFormat="false" ht="15" hidden="false" customHeight="false" outlineLevel="0" collapsed="false">
      <c r="A123" s="15" t="s">
        <v>165</v>
      </c>
      <c r="B123" s="16" t="n">
        <v>45304</v>
      </c>
      <c r="C123" s="17" t="n">
        <f aca="false">YEAR(B123)</f>
        <v>2024</v>
      </c>
      <c r="D123" s="17" t="n">
        <f aca="false">MONTH(B123)</f>
        <v>1</v>
      </c>
      <c r="E123" s="15" t="s">
        <v>27</v>
      </c>
      <c r="F123" s="15" t="s">
        <v>28</v>
      </c>
      <c r="G123" s="15" t="s">
        <v>39</v>
      </c>
      <c r="H123" s="15" t="s">
        <v>30</v>
      </c>
      <c r="I123" s="15" t="n">
        <v>3</v>
      </c>
      <c r="J123" s="18" t="n">
        <v>100</v>
      </c>
      <c r="K123" s="18" t="n">
        <v>88</v>
      </c>
      <c r="L123" s="19" t="n">
        <f aca="false">I123*J123</f>
        <v>300</v>
      </c>
      <c r="M123" s="19" t="n">
        <f aca="false">L123-I123*K123</f>
        <v>36</v>
      </c>
    </row>
    <row r="124" customFormat="false" ht="15" hidden="false" customHeight="false" outlineLevel="0" collapsed="false">
      <c r="A124" s="15" t="s">
        <v>166</v>
      </c>
      <c r="B124" s="16" t="n">
        <v>45691</v>
      </c>
      <c r="C124" s="17" t="n">
        <f aca="false">YEAR(B124)</f>
        <v>2025</v>
      </c>
      <c r="D124" s="17" t="n">
        <f aca="false">MONTH(B124)</f>
        <v>2</v>
      </c>
      <c r="E124" s="15" t="s">
        <v>27</v>
      </c>
      <c r="F124" s="15" t="s">
        <v>28</v>
      </c>
      <c r="G124" s="15" t="s">
        <v>55</v>
      </c>
      <c r="H124" s="15" t="s">
        <v>40</v>
      </c>
      <c r="I124" s="15" t="n">
        <v>1</v>
      </c>
      <c r="J124" s="18" t="n">
        <v>100</v>
      </c>
      <c r="K124" s="18" t="n">
        <v>88</v>
      </c>
      <c r="L124" s="19" t="n">
        <f aca="false">I124*J124</f>
        <v>100</v>
      </c>
      <c r="M124" s="19" t="n">
        <f aca="false">L124-I124*K124</f>
        <v>12</v>
      </c>
    </row>
    <row r="125" customFormat="false" ht="15" hidden="false" customHeight="false" outlineLevel="0" collapsed="false">
      <c r="A125" s="15" t="s">
        <v>167</v>
      </c>
      <c r="B125" s="16" t="n">
        <v>45573</v>
      </c>
      <c r="C125" s="17" t="n">
        <f aca="false">YEAR(B125)</f>
        <v>2024</v>
      </c>
      <c r="D125" s="17" t="n">
        <f aca="false">MONTH(B125)</f>
        <v>10</v>
      </c>
      <c r="E125" s="15" t="s">
        <v>27</v>
      </c>
      <c r="F125" s="15" t="s">
        <v>28</v>
      </c>
      <c r="G125" s="15" t="s">
        <v>39</v>
      </c>
      <c r="H125" s="15" t="s">
        <v>50</v>
      </c>
      <c r="I125" s="15" t="n">
        <v>3</v>
      </c>
      <c r="J125" s="18" t="n">
        <v>100</v>
      </c>
      <c r="K125" s="18" t="n">
        <v>88</v>
      </c>
      <c r="L125" s="19" t="n">
        <f aca="false">I125*J125</f>
        <v>300</v>
      </c>
      <c r="M125" s="19" t="n">
        <f aca="false">L125-I125*K125</f>
        <v>36</v>
      </c>
    </row>
    <row r="126" customFormat="false" ht="15" hidden="false" customHeight="false" outlineLevel="0" collapsed="false">
      <c r="A126" s="15" t="s">
        <v>168</v>
      </c>
      <c r="B126" s="16" t="n">
        <v>45584</v>
      </c>
      <c r="C126" s="17" t="n">
        <f aca="false">YEAR(B126)</f>
        <v>2024</v>
      </c>
      <c r="D126" s="17" t="n">
        <f aca="false">MONTH(B126)</f>
        <v>10</v>
      </c>
      <c r="E126" s="15" t="s">
        <v>48</v>
      </c>
      <c r="F126" s="15" t="s">
        <v>28</v>
      </c>
      <c r="G126" s="15" t="s">
        <v>39</v>
      </c>
      <c r="H126" s="15" t="s">
        <v>30</v>
      </c>
      <c r="I126" s="15" t="n">
        <v>2</v>
      </c>
      <c r="J126" s="18" t="n">
        <v>149</v>
      </c>
      <c r="K126" s="18" t="n">
        <v>60</v>
      </c>
      <c r="L126" s="19" t="n">
        <f aca="false">I126*J126</f>
        <v>298</v>
      </c>
      <c r="M126" s="19" t="n">
        <f aca="false">L126-I126*K126</f>
        <v>178</v>
      </c>
    </row>
    <row r="127" customFormat="false" ht="15" hidden="false" customHeight="false" outlineLevel="0" collapsed="false">
      <c r="A127" s="15" t="s">
        <v>169</v>
      </c>
      <c r="B127" s="16" t="n">
        <v>45815</v>
      </c>
      <c r="C127" s="17" t="n">
        <f aca="false">YEAR(B127)</f>
        <v>2025</v>
      </c>
      <c r="D127" s="17" t="n">
        <f aca="false">MONTH(B127)</f>
        <v>6</v>
      </c>
      <c r="E127" s="15" t="s">
        <v>37</v>
      </c>
      <c r="F127" s="15" t="s">
        <v>38</v>
      </c>
      <c r="G127" s="15" t="s">
        <v>29</v>
      </c>
      <c r="H127" s="15" t="s">
        <v>40</v>
      </c>
      <c r="I127" s="15" t="n">
        <v>3</v>
      </c>
      <c r="J127" s="18" t="n">
        <v>449</v>
      </c>
      <c r="K127" s="18" t="n">
        <v>260</v>
      </c>
      <c r="L127" s="19" t="n">
        <f aca="false">I127*J127</f>
        <v>1347</v>
      </c>
      <c r="M127" s="19" t="n">
        <f aca="false">L127-I127*K127</f>
        <v>567</v>
      </c>
    </row>
    <row r="128" customFormat="false" ht="15" hidden="false" customHeight="false" outlineLevel="0" collapsed="false">
      <c r="A128" s="15" t="s">
        <v>170</v>
      </c>
      <c r="B128" s="16" t="n">
        <v>45321</v>
      </c>
      <c r="C128" s="17" t="n">
        <f aca="false">YEAR(B128)</f>
        <v>2024</v>
      </c>
      <c r="D128" s="17" t="n">
        <f aca="false">MONTH(B128)</f>
        <v>1</v>
      </c>
      <c r="E128" s="15" t="s">
        <v>48</v>
      </c>
      <c r="F128" s="15" t="s">
        <v>28</v>
      </c>
      <c r="G128" s="15" t="s">
        <v>35</v>
      </c>
      <c r="H128" s="15" t="s">
        <v>50</v>
      </c>
      <c r="I128" s="15" t="n">
        <v>4</v>
      </c>
      <c r="J128" s="18" t="n">
        <v>149</v>
      </c>
      <c r="K128" s="18" t="n">
        <v>60</v>
      </c>
      <c r="L128" s="19" t="n">
        <f aca="false">I128*J128</f>
        <v>596</v>
      </c>
      <c r="M128" s="19" t="n">
        <f aca="false">L128-I128*K128</f>
        <v>356</v>
      </c>
    </row>
    <row r="129" customFormat="false" ht="15" hidden="false" customHeight="false" outlineLevel="0" collapsed="false">
      <c r="A129" s="15" t="s">
        <v>171</v>
      </c>
      <c r="B129" s="16" t="n">
        <v>45854</v>
      </c>
      <c r="C129" s="17" t="n">
        <f aca="false">YEAR(B129)</f>
        <v>2025</v>
      </c>
      <c r="D129" s="17" t="n">
        <f aca="false">MONTH(B129)</f>
        <v>7</v>
      </c>
      <c r="E129" s="15" t="s">
        <v>33</v>
      </c>
      <c r="F129" s="15" t="s">
        <v>34</v>
      </c>
      <c r="G129" s="15" t="s">
        <v>43</v>
      </c>
      <c r="H129" s="15" t="s">
        <v>50</v>
      </c>
      <c r="I129" s="15" t="n">
        <v>1</v>
      </c>
      <c r="J129" s="18" t="n">
        <v>2799</v>
      </c>
      <c r="K129" s="18" t="n">
        <v>2100</v>
      </c>
      <c r="L129" s="19" t="n">
        <f aca="false">I129*J129</f>
        <v>2799</v>
      </c>
      <c r="M129" s="19" t="n">
        <f aca="false">L129-I129*K129</f>
        <v>699</v>
      </c>
    </row>
    <row r="130" customFormat="false" ht="15" hidden="false" customHeight="false" outlineLevel="0" collapsed="false">
      <c r="A130" s="15" t="s">
        <v>172</v>
      </c>
      <c r="B130" s="16" t="n">
        <v>45753</v>
      </c>
      <c r="C130" s="17" t="n">
        <f aca="false">YEAR(B130)</f>
        <v>2025</v>
      </c>
      <c r="D130" s="17" t="n">
        <f aca="false">MONTH(B130)</f>
        <v>4</v>
      </c>
      <c r="E130" s="15" t="s">
        <v>48</v>
      </c>
      <c r="F130" s="15" t="s">
        <v>28</v>
      </c>
      <c r="G130" s="15" t="s">
        <v>29</v>
      </c>
      <c r="H130" s="15" t="s">
        <v>30</v>
      </c>
      <c r="I130" s="15" t="n">
        <v>2</v>
      </c>
      <c r="J130" s="18" t="n">
        <v>149</v>
      </c>
      <c r="K130" s="18" t="n">
        <v>60</v>
      </c>
      <c r="L130" s="19" t="n">
        <f aca="false">I130*J130</f>
        <v>298</v>
      </c>
      <c r="M130" s="19" t="n">
        <f aca="false">L130-I130*K130</f>
        <v>178</v>
      </c>
    </row>
    <row r="131" customFormat="false" ht="15" hidden="false" customHeight="false" outlineLevel="0" collapsed="false">
      <c r="A131" s="15" t="s">
        <v>173</v>
      </c>
      <c r="B131" s="16" t="n">
        <v>45342</v>
      </c>
      <c r="C131" s="17" t="n">
        <f aca="false">YEAR(B131)</f>
        <v>2024</v>
      </c>
      <c r="D131" s="17" t="n">
        <f aca="false">MONTH(B131)</f>
        <v>2</v>
      </c>
      <c r="E131" s="15" t="s">
        <v>27</v>
      </c>
      <c r="F131" s="15" t="s">
        <v>28</v>
      </c>
      <c r="G131" s="15" t="s">
        <v>39</v>
      </c>
      <c r="H131" s="15" t="s">
        <v>30</v>
      </c>
      <c r="I131" s="15" t="n">
        <v>2</v>
      </c>
      <c r="J131" s="18" t="n">
        <v>100</v>
      </c>
      <c r="K131" s="18" t="n">
        <v>88</v>
      </c>
      <c r="L131" s="19" t="n">
        <f aca="false">I131*J131</f>
        <v>200</v>
      </c>
      <c r="M131" s="19" t="n">
        <f aca="false">L131-I131*K131</f>
        <v>24</v>
      </c>
    </row>
    <row r="132" customFormat="false" ht="15" hidden="false" customHeight="false" outlineLevel="0" collapsed="false">
      <c r="A132" s="15" t="s">
        <v>174</v>
      </c>
      <c r="B132" s="16" t="n">
        <v>45580</v>
      </c>
      <c r="C132" s="17" t="n">
        <f aca="false">YEAR(B132)</f>
        <v>2024</v>
      </c>
      <c r="D132" s="17" t="n">
        <f aca="false">MONTH(B132)</f>
        <v>10</v>
      </c>
      <c r="E132" s="15" t="s">
        <v>37</v>
      </c>
      <c r="F132" s="15" t="s">
        <v>38</v>
      </c>
      <c r="G132" s="15" t="s">
        <v>29</v>
      </c>
      <c r="H132" s="15" t="s">
        <v>30</v>
      </c>
      <c r="I132" s="15" t="n">
        <v>3</v>
      </c>
      <c r="J132" s="18" t="n">
        <v>449</v>
      </c>
      <c r="K132" s="18" t="n">
        <v>260</v>
      </c>
      <c r="L132" s="19" t="n">
        <f aca="false">I132*J132</f>
        <v>1347</v>
      </c>
      <c r="M132" s="19" t="n">
        <f aca="false">L132-I132*K132</f>
        <v>567</v>
      </c>
    </row>
    <row r="133" customFormat="false" ht="15" hidden="false" customHeight="false" outlineLevel="0" collapsed="false">
      <c r="A133" s="15" t="s">
        <v>175</v>
      </c>
      <c r="B133" s="16" t="n">
        <v>45786</v>
      </c>
      <c r="C133" s="17" t="n">
        <f aca="false">YEAR(B133)</f>
        <v>2025</v>
      </c>
      <c r="D133" s="17" t="n">
        <f aca="false">MONTH(B133)</f>
        <v>5</v>
      </c>
      <c r="E133" s="15" t="s">
        <v>57</v>
      </c>
      <c r="F133" s="15" t="s">
        <v>38</v>
      </c>
      <c r="G133" s="15" t="s">
        <v>39</v>
      </c>
      <c r="H133" s="15" t="s">
        <v>40</v>
      </c>
      <c r="I133" s="15" t="n">
        <v>4</v>
      </c>
      <c r="J133" s="18" t="n">
        <v>699</v>
      </c>
      <c r="K133" s="18" t="n">
        <v>420</v>
      </c>
      <c r="L133" s="19" t="n">
        <f aca="false">I133*J133</f>
        <v>2796</v>
      </c>
      <c r="M133" s="19" t="n">
        <f aca="false">L133-I133*K133</f>
        <v>1116</v>
      </c>
    </row>
    <row r="134" customFormat="false" ht="15" hidden="false" customHeight="false" outlineLevel="0" collapsed="false">
      <c r="A134" s="15" t="s">
        <v>176</v>
      </c>
      <c r="B134" s="16" t="n">
        <v>45368</v>
      </c>
      <c r="C134" s="17" t="n">
        <f aca="false">YEAR(B134)</f>
        <v>2024</v>
      </c>
      <c r="D134" s="17" t="n">
        <f aca="false">MONTH(B134)</f>
        <v>3</v>
      </c>
      <c r="E134" s="15" t="s">
        <v>33</v>
      </c>
      <c r="F134" s="15" t="s">
        <v>34</v>
      </c>
      <c r="G134" s="15" t="s">
        <v>29</v>
      </c>
      <c r="H134" s="15" t="s">
        <v>40</v>
      </c>
      <c r="I134" s="15" t="n">
        <v>2</v>
      </c>
      <c r="J134" s="18" t="n">
        <v>2799</v>
      </c>
      <c r="K134" s="18" t="n">
        <v>2100</v>
      </c>
      <c r="L134" s="19" t="n">
        <f aca="false">I134*J134</f>
        <v>5598</v>
      </c>
      <c r="M134" s="19" t="n">
        <f aca="false">L134-I134*K134</f>
        <v>1398</v>
      </c>
    </row>
    <row r="135" customFormat="false" ht="15" hidden="false" customHeight="false" outlineLevel="0" collapsed="false">
      <c r="A135" s="15" t="s">
        <v>177</v>
      </c>
      <c r="B135" s="16" t="n">
        <v>45632</v>
      </c>
      <c r="C135" s="17" t="n">
        <f aca="false">YEAR(B135)</f>
        <v>2024</v>
      </c>
      <c r="D135" s="17" t="n">
        <f aca="false">MONTH(B135)</f>
        <v>12</v>
      </c>
      <c r="E135" s="15" t="s">
        <v>27</v>
      </c>
      <c r="F135" s="15" t="s">
        <v>28</v>
      </c>
      <c r="G135" s="15" t="s">
        <v>29</v>
      </c>
      <c r="H135" s="15" t="s">
        <v>40</v>
      </c>
      <c r="I135" s="15" t="n">
        <v>4</v>
      </c>
      <c r="J135" s="18" t="n">
        <v>100</v>
      </c>
      <c r="K135" s="18" t="n">
        <v>88</v>
      </c>
      <c r="L135" s="19" t="n">
        <f aca="false">I135*J135</f>
        <v>400</v>
      </c>
      <c r="M135" s="19" t="n">
        <f aca="false">L135-I135*K135</f>
        <v>48</v>
      </c>
    </row>
    <row r="136" customFormat="false" ht="15" hidden="false" customHeight="false" outlineLevel="0" collapsed="false">
      <c r="A136" s="15" t="s">
        <v>178</v>
      </c>
      <c r="B136" s="16" t="n">
        <v>45541</v>
      </c>
      <c r="C136" s="17" t="n">
        <f aca="false">YEAR(B136)</f>
        <v>2024</v>
      </c>
      <c r="D136" s="17" t="n">
        <f aca="false">MONTH(B136)</f>
        <v>9</v>
      </c>
      <c r="E136" s="15" t="s">
        <v>33</v>
      </c>
      <c r="F136" s="15" t="s">
        <v>34</v>
      </c>
      <c r="G136" s="15" t="s">
        <v>29</v>
      </c>
      <c r="H136" s="15" t="s">
        <v>30</v>
      </c>
      <c r="I136" s="15" t="n">
        <v>2</v>
      </c>
      <c r="J136" s="18" t="n">
        <v>2799</v>
      </c>
      <c r="K136" s="18" t="n">
        <v>2100</v>
      </c>
      <c r="L136" s="19" t="n">
        <f aca="false">I136*J136</f>
        <v>5598</v>
      </c>
      <c r="M136" s="19" t="n">
        <f aca="false">L136-I136*K136</f>
        <v>1398</v>
      </c>
    </row>
    <row r="137" customFormat="false" ht="15" hidden="false" customHeight="false" outlineLevel="0" collapsed="false">
      <c r="A137" s="15" t="s">
        <v>179</v>
      </c>
      <c r="B137" s="16" t="n">
        <v>45669</v>
      </c>
      <c r="C137" s="17" t="n">
        <f aca="false">YEAR(B137)</f>
        <v>2025</v>
      </c>
      <c r="D137" s="17" t="n">
        <f aca="false">MONTH(B137)</f>
        <v>1</v>
      </c>
      <c r="E137" s="15" t="s">
        <v>37</v>
      </c>
      <c r="F137" s="15" t="s">
        <v>38</v>
      </c>
      <c r="G137" s="15" t="s">
        <v>35</v>
      </c>
      <c r="H137" s="15" t="s">
        <v>50</v>
      </c>
      <c r="I137" s="15" t="n">
        <v>2</v>
      </c>
      <c r="J137" s="18" t="n">
        <v>449</v>
      </c>
      <c r="K137" s="18" t="n">
        <v>260</v>
      </c>
      <c r="L137" s="19" t="n">
        <f aca="false">I137*J137</f>
        <v>898</v>
      </c>
      <c r="M137" s="19" t="n">
        <f aca="false">L137-I137*K137</f>
        <v>378</v>
      </c>
    </row>
    <row r="138" customFormat="false" ht="15" hidden="false" customHeight="false" outlineLevel="0" collapsed="false">
      <c r="A138" s="15" t="s">
        <v>180</v>
      </c>
      <c r="B138" s="16" t="n">
        <v>45714</v>
      </c>
      <c r="C138" s="17" t="n">
        <f aca="false">YEAR(B138)</f>
        <v>2025</v>
      </c>
      <c r="D138" s="17" t="n">
        <f aca="false">MONTH(B138)</f>
        <v>2</v>
      </c>
      <c r="E138" s="15" t="s">
        <v>37</v>
      </c>
      <c r="F138" s="15" t="s">
        <v>38</v>
      </c>
      <c r="G138" s="15" t="s">
        <v>55</v>
      </c>
      <c r="H138" s="15" t="s">
        <v>30</v>
      </c>
      <c r="I138" s="15" t="n">
        <v>2</v>
      </c>
      <c r="J138" s="18" t="n">
        <v>449</v>
      </c>
      <c r="K138" s="18" t="n">
        <v>260</v>
      </c>
      <c r="L138" s="19" t="n">
        <f aca="false">I138*J138</f>
        <v>898</v>
      </c>
      <c r="M138" s="19" t="n">
        <f aca="false">L138-I138*K138</f>
        <v>378</v>
      </c>
    </row>
    <row r="139" customFormat="false" ht="15" hidden="false" customHeight="false" outlineLevel="0" collapsed="false">
      <c r="A139" s="15" t="s">
        <v>181</v>
      </c>
      <c r="B139" s="16" t="n">
        <v>45355</v>
      </c>
      <c r="C139" s="17" t="n">
        <f aca="false">YEAR(B139)</f>
        <v>2024</v>
      </c>
      <c r="D139" s="17" t="n">
        <f aca="false">MONTH(B139)</f>
        <v>3</v>
      </c>
      <c r="E139" s="15" t="s">
        <v>37</v>
      </c>
      <c r="F139" s="15" t="s">
        <v>38</v>
      </c>
      <c r="G139" s="15" t="s">
        <v>39</v>
      </c>
      <c r="H139" s="15" t="s">
        <v>40</v>
      </c>
      <c r="I139" s="15" t="n">
        <v>3</v>
      </c>
      <c r="J139" s="18" t="n">
        <v>449</v>
      </c>
      <c r="K139" s="18" t="n">
        <v>260</v>
      </c>
      <c r="L139" s="19" t="n">
        <f aca="false">I139*J139</f>
        <v>1347</v>
      </c>
      <c r="M139" s="19" t="n">
        <f aca="false">L139-I139*K139</f>
        <v>567</v>
      </c>
    </row>
    <row r="140" customFormat="false" ht="15" hidden="false" customHeight="false" outlineLevel="0" collapsed="false">
      <c r="A140" s="15" t="s">
        <v>182</v>
      </c>
      <c r="B140" s="16" t="n">
        <v>45936</v>
      </c>
      <c r="C140" s="17" t="n">
        <f aca="false">YEAR(B140)</f>
        <v>2025</v>
      </c>
      <c r="D140" s="17" t="n">
        <f aca="false">MONTH(B140)</f>
        <v>10</v>
      </c>
      <c r="E140" s="15" t="s">
        <v>48</v>
      </c>
      <c r="F140" s="15" t="s">
        <v>28</v>
      </c>
      <c r="G140" s="15" t="s">
        <v>39</v>
      </c>
      <c r="H140" s="15" t="s">
        <v>50</v>
      </c>
      <c r="I140" s="15" t="n">
        <v>2</v>
      </c>
      <c r="J140" s="18" t="n">
        <v>149</v>
      </c>
      <c r="K140" s="18" t="n">
        <v>60</v>
      </c>
      <c r="L140" s="19" t="n">
        <f aca="false">I140*J140</f>
        <v>298</v>
      </c>
      <c r="M140" s="19" t="n">
        <f aca="false">L140-I140*K140</f>
        <v>178</v>
      </c>
    </row>
    <row r="141" customFormat="false" ht="15" hidden="false" customHeight="false" outlineLevel="0" collapsed="false">
      <c r="A141" s="15" t="s">
        <v>183</v>
      </c>
      <c r="B141" s="16" t="n">
        <v>45685</v>
      </c>
      <c r="C141" s="17" t="n">
        <f aca="false">YEAR(B141)</f>
        <v>2025</v>
      </c>
      <c r="D141" s="17" t="n">
        <f aca="false">MONTH(B141)</f>
        <v>1</v>
      </c>
      <c r="E141" s="15" t="s">
        <v>37</v>
      </c>
      <c r="F141" s="15" t="s">
        <v>38</v>
      </c>
      <c r="G141" s="15" t="s">
        <v>29</v>
      </c>
      <c r="H141" s="15" t="s">
        <v>30</v>
      </c>
      <c r="I141" s="15" t="n">
        <v>4</v>
      </c>
      <c r="J141" s="18" t="n">
        <v>449</v>
      </c>
      <c r="K141" s="18" t="n">
        <v>260</v>
      </c>
      <c r="L141" s="19" t="n">
        <f aca="false">I141*J141</f>
        <v>1796</v>
      </c>
      <c r="M141" s="19" t="n">
        <f aca="false">L141-I141*K141</f>
        <v>756</v>
      </c>
    </row>
    <row r="142" customFormat="false" ht="15" hidden="false" customHeight="false" outlineLevel="0" collapsed="false">
      <c r="A142" s="15" t="s">
        <v>184</v>
      </c>
      <c r="B142" s="16" t="n">
        <v>45314</v>
      </c>
      <c r="C142" s="17" t="n">
        <f aca="false">YEAR(B142)</f>
        <v>2024</v>
      </c>
      <c r="D142" s="17" t="n">
        <f aca="false">MONTH(B142)</f>
        <v>1</v>
      </c>
      <c r="E142" s="15" t="s">
        <v>33</v>
      </c>
      <c r="F142" s="15" t="s">
        <v>34</v>
      </c>
      <c r="G142" s="15" t="s">
        <v>29</v>
      </c>
      <c r="H142" s="15" t="s">
        <v>50</v>
      </c>
      <c r="I142" s="15" t="n">
        <v>2</v>
      </c>
      <c r="J142" s="18" t="n">
        <v>2799</v>
      </c>
      <c r="K142" s="18" t="n">
        <v>2100</v>
      </c>
      <c r="L142" s="19" t="n">
        <f aca="false">I142*J142</f>
        <v>5598</v>
      </c>
      <c r="M142" s="19" t="n">
        <f aca="false">L142-I142*K142</f>
        <v>1398</v>
      </c>
    </row>
    <row r="143" customFormat="false" ht="15" hidden="false" customHeight="false" outlineLevel="0" collapsed="false">
      <c r="A143" s="15" t="s">
        <v>185</v>
      </c>
      <c r="B143" s="16" t="n">
        <v>45776</v>
      </c>
      <c r="C143" s="17" t="n">
        <f aca="false">YEAR(B143)</f>
        <v>2025</v>
      </c>
      <c r="D143" s="17" t="n">
        <f aca="false">MONTH(B143)</f>
        <v>4</v>
      </c>
      <c r="E143" s="15" t="s">
        <v>27</v>
      </c>
      <c r="F143" s="15" t="s">
        <v>28</v>
      </c>
      <c r="G143" s="15" t="s">
        <v>43</v>
      </c>
      <c r="H143" s="15" t="s">
        <v>30</v>
      </c>
      <c r="I143" s="15" t="n">
        <v>4</v>
      </c>
      <c r="J143" s="18" t="n">
        <v>100</v>
      </c>
      <c r="K143" s="18" t="n">
        <v>88</v>
      </c>
      <c r="L143" s="19" t="n">
        <f aca="false">I143*J143</f>
        <v>400</v>
      </c>
      <c r="M143" s="19" t="n">
        <f aca="false">L143-I143*K143</f>
        <v>48</v>
      </c>
    </row>
    <row r="144" customFormat="false" ht="15" hidden="false" customHeight="false" outlineLevel="0" collapsed="false">
      <c r="A144" s="15" t="s">
        <v>186</v>
      </c>
      <c r="B144" s="16" t="n">
        <v>45832</v>
      </c>
      <c r="C144" s="17" t="n">
        <f aca="false">YEAR(B144)</f>
        <v>2025</v>
      </c>
      <c r="D144" s="17" t="n">
        <f aca="false">MONTH(B144)</f>
        <v>6</v>
      </c>
      <c r="E144" s="15" t="s">
        <v>27</v>
      </c>
      <c r="F144" s="15" t="s">
        <v>28</v>
      </c>
      <c r="G144" s="15" t="s">
        <v>39</v>
      </c>
      <c r="H144" s="15" t="s">
        <v>30</v>
      </c>
      <c r="I144" s="15" t="n">
        <v>4</v>
      </c>
      <c r="J144" s="18" t="n">
        <v>100</v>
      </c>
      <c r="K144" s="18" t="n">
        <v>88</v>
      </c>
      <c r="L144" s="19" t="n">
        <f aca="false">I144*J144</f>
        <v>400</v>
      </c>
      <c r="M144" s="19" t="n">
        <f aca="false">L144-I144*K144</f>
        <v>48</v>
      </c>
    </row>
    <row r="145" customFormat="false" ht="15" hidden="false" customHeight="false" outlineLevel="0" collapsed="false">
      <c r="A145" s="15" t="s">
        <v>187</v>
      </c>
      <c r="B145" s="16" t="n">
        <v>45450</v>
      </c>
      <c r="C145" s="17" t="n">
        <f aca="false">YEAR(B145)</f>
        <v>2024</v>
      </c>
      <c r="D145" s="17" t="n">
        <f aca="false">MONTH(B145)</f>
        <v>6</v>
      </c>
      <c r="E145" s="15" t="s">
        <v>33</v>
      </c>
      <c r="F145" s="15" t="s">
        <v>34</v>
      </c>
      <c r="G145" s="15" t="s">
        <v>35</v>
      </c>
      <c r="H145" s="15" t="s">
        <v>50</v>
      </c>
      <c r="I145" s="15" t="n">
        <v>1</v>
      </c>
      <c r="J145" s="18" t="n">
        <v>2799</v>
      </c>
      <c r="K145" s="18" t="n">
        <v>2100</v>
      </c>
      <c r="L145" s="19" t="n">
        <f aca="false">I145*J145</f>
        <v>2799</v>
      </c>
      <c r="M145" s="19" t="n">
        <f aca="false">L145-I145*K145</f>
        <v>699</v>
      </c>
    </row>
    <row r="146" customFormat="false" ht="15" hidden="false" customHeight="false" outlineLevel="0" collapsed="false">
      <c r="A146" s="15" t="s">
        <v>188</v>
      </c>
      <c r="B146" s="16" t="n">
        <v>45954</v>
      </c>
      <c r="C146" s="17" t="n">
        <f aca="false">YEAR(B146)</f>
        <v>2025</v>
      </c>
      <c r="D146" s="17" t="n">
        <f aca="false">MONTH(B146)</f>
        <v>10</v>
      </c>
      <c r="E146" s="15" t="s">
        <v>27</v>
      </c>
      <c r="F146" s="15" t="s">
        <v>28</v>
      </c>
      <c r="G146" s="15" t="s">
        <v>39</v>
      </c>
      <c r="H146" s="15" t="s">
        <v>50</v>
      </c>
      <c r="I146" s="15" t="n">
        <v>4</v>
      </c>
      <c r="J146" s="18" t="n">
        <v>100</v>
      </c>
      <c r="K146" s="18" t="n">
        <v>88</v>
      </c>
      <c r="L146" s="19" t="n">
        <f aca="false">I146*J146</f>
        <v>400</v>
      </c>
      <c r="M146" s="19" t="n">
        <f aca="false">L146-I146*K146</f>
        <v>48</v>
      </c>
    </row>
    <row r="147" customFormat="false" ht="15" hidden="false" customHeight="false" outlineLevel="0" collapsed="false">
      <c r="A147" s="15" t="s">
        <v>189</v>
      </c>
      <c r="B147" s="16" t="n">
        <v>45293</v>
      </c>
      <c r="C147" s="17" t="n">
        <f aca="false">YEAR(B147)</f>
        <v>2024</v>
      </c>
      <c r="D147" s="17" t="n">
        <f aca="false">MONTH(B147)</f>
        <v>1</v>
      </c>
      <c r="E147" s="15" t="s">
        <v>48</v>
      </c>
      <c r="F147" s="15" t="s">
        <v>28</v>
      </c>
      <c r="G147" s="15" t="s">
        <v>29</v>
      </c>
      <c r="H147" s="15" t="s">
        <v>30</v>
      </c>
      <c r="I147" s="15" t="n">
        <v>2</v>
      </c>
      <c r="J147" s="18" t="n">
        <v>149</v>
      </c>
      <c r="K147" s="18" t="n">
        <v>60</v>
      </c>
      <c r="L147" s="19" t="n">
        <f aca="false">I147*J147</f>
        <v>298</v>
      </c>
      <c r="M147" s="19" t="n">
        <f aca="false">L147-I147*K147</f>
        <v>178</v>
      </c>
    </row>
    <row r="148" customFormat="false" ht="15" hidden="false" customHeight="false" outlineLevel="0" collapsed="false">
      <c r="A148" s="15" t="s">
        <v>190</v>
      </c>
      <c r="B148" s="16" t="n">
        <v>45603</v>
      </c>
      <c r="C148" s="17" t="n">
        <f aca="false">YEAR(B148)</f>
        <v>2024</v>
      </c>
      <c r="D148" s="17" t="n">
        <f aca="false">MONTH(B148)</f>
        <v>11</v>
      </c>
      <c r="E148" s="15" t="s">
        <v>27</v>
      </c>
      <c r="F148" s="15" t="s">
        <v>28</v>
      </c>
      <c r="G148" s="15" t="s">
        <v>29</v>
      </c>
      <c r="H148" s="15" t="s">
        <v>40</v>
      </c>
      <c r="I148" s="15" t="n">
        <v>3</v>
      </c>
      <c r="J148" s="18" t="n">
        <v>100</v>
      </c>
      <c r="K148" s="18" t="n">
        <v>88</v>
      </c>
      <c r="L148" s="19" t="n">
        <f aca="false">I148*J148</f>
        <v>300</v>
      </c>
      <c r="M148" s="19" t="n">
        <f aca="false">L148-I148*K148</f>
        <v>36</v>
      </c>
    </row>
    <row r="149" customFormat="false" ht="15" hidden="false" customHeight="false" outlineLevel="0" collapsed="false">
      <c r="A149" s="15" t="s">
        <v>191</v>
      </c>
      <c r="B149" s="16" t="n">
        <v>45406</v>
      </c>
      <c r="C149" s="17" t="n">
        <f aca="false">YEAR(B149)</f>
        <v>2024</v>
      </c>
      <c r="D149" s="17" t="n">
        <f aca="false">MONTH(B149)</f>
        <v>4</v>
      </c>
      <c r="E149" s="15" t="s">
        <v>33</v>
      </c>
      <c r="F149" s="15" t="s">
        <v>34</v>
      </c>
      <c r="G149" s="15" t="s">
        <v>29</v>
      </c>
      <c r="H149" s="15" t="s">
        <v>40</v>
      </c>
      <c r="I149" s="15" t="n">
        <v>2</v>
      </c>
      <c r="J149" s="18" t="n">
        <v>2799</v>
      </c>
      <c r="K149" s="18" t="n">
        <v>2100</v>
      </c>
      <c r="L149" s="19" t="n">
        <f aca="false">I149*J149</f>
        <v>5598</v>
      </c>
      <c r="M149" s="19" t="n">
        <f aca="false">L149-I149*K149</f>
        <v>1398</v>
      </c>
    </row>
    <row r="150" customFormat="false" ht="15" hidden="false" customHeight="false" outlineLevel="0" collapsed="false">
      <c r="A150" s="15" t="s">
        <v>192</v>
      </c>
      <c r="B150" s="16" t="n">
        <v>45689</v>
      </c>
      <c r="C150" s="17" t="n">
        <f aca="false">YEAR(B150)</f>
        <v>2025</v>
      </c>
      <c r="D150" s="17" t="n">
        <f aca="false">MONTH(B150)</f>
        <v>2</v>
      </c>
      <c r="E150" s="15" t="s">
        <v>37</v>
      </c>
      <c r="F150" s="15" t="s">
        <v>38</v>
      </c>
      <c r="G150" s="15" t="s">
        <v>43</v>
      </c>
      <c r="H150" s="15" t="s">
        <v>30</v>
      </c>
      <c r="I150" s="15" t="n">
        <v>1</v>
      </c>
      <c r="J150" s="18" t="n">
        <v>449</v>
      </c>
      <c r="K150" s="18" t="n">
        <v>260</v>
      </c>
      <c r="L150" s="19" t="n">
        <f aca="false">I150*J150</f>
        <v>449</v>
      </c>
      <c r="M150" s="19" t="n">
        <f aca="false">L150-I150*K150</f>
        <v>189</v>
      </c>
    </row>
    <row r="151" customFormat="false" ht="15" hidden="false" customHeight="false" outlineLevel="0" collapsed="false">
      <c r="A151" s="15" t="s">
        <v>193</v>
      </c>
      <c r="B151" s="16" t="n">
        <v>45763</v>
      </c>
      <c r="C151" s="17" t="n">
        <f aca="false">YEAR(B151)</f>
        <v>2025</v>
      </c>
      <c r="D151" s="17" t="n">
        <f aca="false">MONTH(B151)</f>
        <v>4</v>
      </c>
      <c r="E151" s="15" t="s">
        <v>37</v>
      </c>
      <c r="F151" s="15" t="s">
        <v>38</v>
      </c>
      <c r="G151" s="15" t="s">
        <v>29</v>
      </c>
      <c r="H151" s="15" t="s">
        <v>50</v>
      </c>
      <c r="I151" s="15" t="n">
        <v>3</v>
      </c>
      <c r="J151" s="18" t="n">
        <v>449</v>
      </c>
      <c r="K151" s="18" t="n">
        <v>260</v>
      </c>
      <c r="L151" s="19" t="n">
        <f aca="false">I151*J151</f>
        <v>1347</v>
      </c>
      <c r="M151" s="19" t="n">
        <f aca="false">L151-I151*K151</f>
        <v>567</v>
      </c>
    </row>
    <row r="152" customFormat="false" ht="15" hidden="false" customHeight="false" outlineLevel="0" collapsed="false">
      <c r="A152" s="15" t="s">
        <v>194</v>
      </c>
      <c r="B152" s="16" t="n">
        <v>45778</v>
      </c>
      <c r="C152" s="17" t="n">
        <f aca="false">YEAR(B152)</f>
        <v>2025</v>
      </c>
      <c r="D152" s="17" t="n">
        <f aca="false">MONTH(B152)</f>
        <v>5</v>
      </c>
      <c r="E152" s="15" t="s">
        <v>57</v>
      </c>
      <c r="F152" s="15" t="s">
        <v>38</v>
      </c>
      <c r="G152" s="15" t="s">
        <v>43</v>
      </c>
      <c r="H152" s="15" t="s">
        <v>30</v>
      </c>
      <c r="I152" s="15" t="n">
        <v>2</v>
      </c>
      <c r="J152" s="18" t="n">
        <v>699</v>
      </c>
      <c r="K152" s="18" t="n">
        <v>420</v>
      </c>
      <c r="L152" s="19" t="n">
        <f aca="false">I152*J152</f>
        <v>1398</v>
      </c>
      <c r="M152" s="19" t="n">
        <f aca="false">L152-I152*K152</f>
        <v>558</v>
      </c>
    </row>
    <row r="153" customFormat="false" ht="15" hidden="false" customHeight="false" outlineLevel="0" collapsed="false">
      <c r="A153" s="15" t="s">
        <v>195</v>
      </c>
      <c r="B153" s="16" t="n">
        <v>45957</v>
      </c>
      <c r="C153" s="17" t="n">
        <f aca="false">YEAR(B153)</f>
        <v>2025</v>
      </c>
      <c r="D153" s="17" t="n">
        <f aca="false">MONTH(B153)</f>
        <v>10</v>
      </c>
      <c r="E153" s="15" t="s">
        <v>37</v>
      </c>
      <c r="F153" s="15" t="s">
        <v>38</v>
      </c>
      <c r="G153" s="15" t="s">
        <v>39</v>
      </c>
      <c r="H153" s="15" t="s">
        <v>50</v>
      </c>
      <c r="I153" s="15" t="n">
        <v>1</v>
      </c>
      <c r="J153" s="18" t="n">
        <v>449</v>
      </c>
      <c r="K153" s="18" t="n">
        <v>260</v>
      </c>
      <c r="L153" s="19" t="n">
        <f aca="false">I153*J153</f>
        <v>449</v>
      </c>
      <c r="M153" s="19" t="n">
        <f aca="false">L153-I153*K153</f>
        <v>189</v>
      </c>
    </row>
    <row r="154" customFormat="false" ht="15" hidden="false" customHeight="false" outlineLevel="0" collapsed="false">
      <c r="A154" s="15" t="s">
        <v>196</v>
      </c>
      <c r="B154" s="16" t="n">
        <v>45954</v>
      </c>
      <c r="C154" s="17" t="n">
        <f aca="false">YEAR(B154)</f>
        <v>2025</v>
      </c>
      <c r="D154" s="17" t="n">
        <f aca="false">MONTH(B154)</f>
        <v>10</v>
      </c>
      <c r="E154" s="15" t="s">
        <v>37</v>
      </c>
      <c r="F154" s="15" t="s">
        <v>38</v>
      </c>
      <c r="G154" s="15" t="s">
        <v>39</v>
      </c>
      <c r="H154" s="15" t="s">
        <v>40</v>
      </c>
      <c r="I154" s="15" t="n">
        <v>3</v>
      </c>
      <c r="J154" s="18" t="n">
        <v>449</v>
      </c>
      <c r="K154" s="18" t="n">
        <v>260</v>
      </c>
      <c r="L154" s="19" t="n">
        <f aca="false">I154*J154</f>
        <v>1347</v>
      </c>
      <c r="M154" s="19" t="n">
        <f aca="false">L154-I154*K154</f>
        <v>567</v>
      </c>
    </row>
    <row r="155" customFormat="false" ht="15" hidden="false" customHeight="false" outlineLevel="0" collapsed="false">
      <c r="A155" s="15" t="s">
        <v>197</v>
      </c>
      <c r="B155" s="16" t="n">
        <v>45671</v>
      </c>
      <c r="C155" s="17" t="n">
        <f aca="false">YEAR(B155)</f>
        <v>2025</v>
      </c>
      <c r="D155" s="17" t="n">
        <f aca="false">MONTH(B155)</f>
        <v>1</v>
      </c>
      <c r="E155" s="15" t="s">
        <v>37</v>
      </c>
      <c r="F155" s="15" t="s">
        <v>38</v>
      </c>
      <c r="G155" s="15" t="s">
        <v>29</v>
      </c>
      <c r="H155" s="15" t="s">
        <v>50</v>
      </c>
      <c r="I155" s="15" t="n">
        <v>1</v>
      </c>
      <c r="J155" s="18" t="n">
        <v>449</v>
      </c>
      <c r="K155" s="18" t="n">
        <v>260</v>
      </c>
      <c r="L155" s="19" t="n">
        <f aca="false">I155*J155</f>
        <v>449</v>
      </c>
      <c r="M155" s="19" t="n">
        <f aca="false">L155-I155*K155</f>
        <v>189</v>
      </c>
    </row>
    <row r="156" customFormat="false" ht="15" hidden="false" customHeight="false" outlineLevel="0" collapsed="false">
      <c r="A156" s="15" t="s">
        <v>198</v>
      </c>
      <c r="B156" s="16" t="n">
        <v>45663</v>
      </c>
      <c r="C156" s="17" t="n">
        <f aca="false">YEAR(B156)</f>
        <v>2025</v>
      </c>
      <c r="D156" s="17" t="n">
        <f aca="false">MONTH(B156)</f>
        <v>1</v>
      </c>
      <c r="E156" s="15" t="s">
        <v>48</v>
      </c>
      <c r="F156" s="15" t="s">
        <v>28</v>
      </c>
      <c r="G156" s="15" t="s">
        <v>43</v>
      </c>
      <c r="H156" s="15" t="s">
        <v>30</v>
      </c>
      <c r="I156" s="15" t="n">
        <v>2</v>
      </c>
      <c r="J156" s="18" t="n">
        <v>149</v>
      </c>
      <c r="K156" s="18" t="n">
        <v>60</v>
      </c>
      <c r="L156" s="19" t="n">
        <f aca="false">I156*J156</f>
        <v>298</v>
      </c>
      <c r="M156" s="19" t="n">
        <f aca="false">L156-I156*K156</f>
        <v>178</v>
      </c>
    </row>
    <row r="157" customFormat="false" ht="15" hidden="false" customHeight="false" outlineLevel="0" collapsed="false">
      <c r="A157" s="15" t="s">
        <v>199</v>
      </c>
      <c r="B157" s="16" t="n">
        <v>45808</v>
      </c>
      <c r="C157" s="17" t="n">
        <f aca="false">YEAR(B157)</f>
        <v>2025</v>
      </c>
      <c r="D157" s="17" t="n">
        <f aca="false">MONTH(B157)</f>
        <v>5</v>
      </c>
      <c r="E157" s="15" t="s">
        <v>62</v>
      </c>
      <c r="F157" s="15" t="s">
        <v>34</v>
      </c>
      <c r="G157" s="15" t="s">
        <v>35</v>
      </c>
      <c r="H157" s="15" t="s">
        <v>30</v>
      </c>
      <c r="I157" s="15" t="n">
        <v>2</v>
      </c>
      <c r="J157" s="18" t="n">
        <v>4499</v>
      </c>
      <c r="K157" s="18" t="n">
        <v>3400</v>
      </c>
      <c r="L157" s="19" t="n">
        <f aca="false">I157*J157</f>
        <v>8998</v>
      </c>
      <c r="M157" s="19" t="n">
        <f aca="false">L157-I157*K157</f>
        <v>2198</v>
      </c>
    </row>
    <row r="158" customFormat="false" ht="15" hidden="false" customHeight="false" outlineLevel="0" collapsed="false">
      <c r="A158" s="15" t="s">
        <v>200</v>
      </c>
      <c r="B158" s="16" t="n">
        <v>45490</v>
      </c>
      <c r="C158" s="17" t="n">
        <f aca="false">YEAR(B158)</f>
        <v>2024</v>
      </c>
      <c r="D158" s="17" t="n">
        <f aca="false">MONTH(B158)</f>
        <v>7</v>
      </c>
      <c r="E158" s="15" t="s">
        <v>37</v>
      </c>
      <c r="F158" s="15" t="s">
        <v>38</v>
      </c>
      <c r="G158" s="15" t="s">
        <v>39</v>
      </c>
      <c r="H158" s="15" t="s">
        <v>50</v>
      </c>
      <c r="I158" s="15" t="n">
        <v>2</v>
      </c>
      <c r="J158" s="18" t="n">
        <v>449</v>
      </c>
      <c r="K158" s="18" t="n">
        <v>260</v>
      </c>
      <c r="L158" s="19" t="n">
        <f aca="false">I158*J158</f>
        <v>898</v>
      </c>
      <c r="M158" s="19" t="n">
        <f aca="false">L158-I158*K158</f>
        <v>378</v>
      </c>
    </row>
    <row r="159" customFormat="false" ht="15" hidden="false" customHeight="false" outlineLevel="0" collapsed="false">
      <c r="A159" s="15" t="s">
        <v>201</v>
      </c>
      <c r="B159" s="16" t="n">
        <v>45403</v>
      </c>
      <c r="C159" s="17" t="n">
        <f aca="false">YEAR(B159)</f>
        <v>2024</v>
      </c>
      <c r="D159" s="17" t="n">
        <f aca="false">MONTH(B159)</f>
        <v>4</v>
      </c>
      <c r="E159" s="15" t="s">
        <v>27</v>
      </c>
      <c r="F159" s="15" t="s">
        <v>28</v>
      </c>
      <c r="G159" s="15" t="s">
        <v>29</v>
      </c>
      <c r="H159" s="15" t="s">
        <v>50</v>
      </c>
      <c r="I159" s="15" t="n">
        <v>4</v>
      </c>
      <c r="J159" s="18" t="n">
        <v>100</v>
      </c>
      <c r="K159" s="18" t="n">
        <v>88</v>
      </c>
      <c r="L159" s="19" t="n">
        <f aca="false">I159*J159</f>
        <v>400</v>
      </c>
      <c r="M159" s="19" t="n">
        <f aca="false">L159-I159*K159</f>
        <v>48</v>
      </c>
    </row>
    <row r="160" customFormat="false" ht="15" hidden="false" customHeight="false" outlineLevel="0" collapsed="false">
      <c r="A160" s="15" t="s">
        <v>202</v>
      </c>
      <c r="B160" s="16" t="n">
        <v>45788</v>
      </c>
      <c r="C160" s="17" t="n">
        <f aca="false">YEAR(B160)</f>
        <v>2025</v>
      </c>
      <c r="D160" s="17" t="n">
        <f aca="false">MONTH(B160)</f>
        <v>5</v>
      </c>
      <c r="E160" s="15" t="s">
        <v>37</v>
      </c>
      <c r="F160" s="15" t="s">
        <v>38</v>
      </c>
      <c r="G160" s="15" t="s">
        <v>35</v>
      </c>
      <c r="H160" s="15" t="s">
        <v>30</v>
      </c>
      <c r="I160" s="15" t="n">
        <v>1</v>
      </c>
      <c r="J160" s="18" t="n">
        <v>449</v>
      </c>
      <c r="K160" s="18" t="n">
        <v>260</v>
      </c>
      <c r="L160" s="19" t="n">
        <f aca="false">I160*J160</f>
        <v>449</v>
      </c>
      <c r="M160" s="19" t="n">
        <f aca="false">L160-I160*K160</f>
        <v>189</v>
      </c>
    </row>
    <row r="161" customFormat="false" ht="15" hidden="false" customHeight="false" outlineLevel="0" collapsed="false">
      <c r="A161" s="15" t="s">
        <v>203</v>
      </c>
      <c r="B161" s="16" t="n">
        <v>45694</v>
      </c>
      <c r="C161" s="17" t="n">
        <f aca="false">YEAR(B161)</f>
        <v>2025</v>
      </c>
      <c r="D161" s="17" t="n">
        <f aca="false">MONTH(B161)</f>
        <v>2</v>
      </c>
      <c r="E161" s="15" t="s">
        <v>62</v>
      </c>
      <c r="F161" s="15" t="s">
        <v>34</v>
      </c>
      <c r="G161" s="15" t="s">
        <v>35</v>
      </c>
      <c r="H161" s="15" t="s">
        <v>30</v>
      </c>
      <c r="I161" s="15" t="n">
        <v>1</v>
      </c>
      <c r="J161" s="18" t="n">
        <v>4499</v>
      </c>
      <c r="K161" s="18" t="n">
        <v>3400</v>
      </c>
      <c r="L161" s="19" t="n">
        <f aca="false">I161*J161</f>
        <v>4499</v>
      </c>
      <c r="M161" s="19" t="n">
        <f aca="false">L161-I161*K161</f>
        <v>1099</v>
      </c>
    </row>
    <row r="162" customFormat="false" ht="15" hidden="false" customHeight="false" outlineLevel="0" collapsed="false">
      <c r="A162" s="15" t="s">
        <v>204</v>
      </c>
      <c r="B162" s="16" t="n">
        <v>45345</v>
      </c>
      <c r="C162" s="17" t="n">
        <f aca="false">YEAR(B162)</f>
        <v>2024</v>
      </c>
      <c r="D162" s="17" t="n">
        <f aca="false">MONTH(B162)</f>
        <v>2</v>
      </c>
      <c r="E162" s="15" t="s">
        <v>48</v>
      </c>
      <c r="F162" s="15" t="s">
        <v>28</v>
      </c>
      <c r="G162" s="15" t="s">
        <v>55</v>
      </c>
      <c r="H162" s="15" t="s">
        <v>50</v>
      </c>
      <c r="I162" s="15" t="n">
        <v>2</v>
      </c>
      <c r="J162" s="18" t="n">
        <v>149</v>
      </c>
      <c r="K162" s="18" t="n">
        <v>60</v>
      </c>
      <c r="L162" s="19" t="n">
        <f aca="false">I162*J162</f>
        <v>298</v>
      </c>
      <c r="M162" s="19" t="n">
        <f aca="false">L162-I162*K162</f>
        <v>178</v>
      </c>
    </row>
    <row r="163" customFormat="false" ht="15" hidden="false" customHeight="false" outlineLevel="0" collapsed="false">
      <c r="A163" s="15" t="s">
        <v>205</v>
      </c>
      <c r="B163" s="16" t="n">
        <v>45613</v>
      </c>
      <c r="C163" s="17" t="n">
        <f aca="false">YEAR(B163)</f>
        <v>2024</v>
      </c>
      <c r="D163" s="17" t="n">
        <f aca="false">MONTH(B163)</f>
        <v>11</v>
      </c>
      <c r="E163" s="15" t="s">
        <v>48</v>
      </c>
      <c r="F163" s="15" t="s">
        <v>28</v>
      </c>
      <c r="G163" s="15" t="s">
        <v>35</v>
      </c>
      <c r="H163" s="15" t="s">
        <v>30</v>
      </c>
      <c r="I163" s="15" t="n">
        <v>1</v>
      </c>
      <c r="J163" s="18" t="n">
        <v>149</v>
      </c>
      <c r="K163" s="18" t="n">
        <v>60</v>
      </c>
      <c r="L163" s="19" t="n">
        <f aca="false">I163*J163</f>
        <v>149</v>
      </c>
      <c r="M163" s="19" t="n">
        <f aca="false">L163-I163*K163</f>
        <v>89</v>
      </c>
    </row>
    <row r="164" customFormat="false" ht="15" hidden="false" customHeight="false" outlineLevel="0" collapsed="false">
      <c r="A164" s="15" t="s">
        <v>206</v>
      </c>
      <c r="B164" s="16" t="n">
        <v>45481</v>
      </c>
      <c r="C164" s="17" t="n">
        <f aca="false">YEAR(B164)</f>
        <v>2024</v>
      </c>
      <c r="D164" s="17" t="n">
        <f aca="false">MONTH(B164)</f>
        <v>7</v>
      </c>
      <c r="E164" s="15" t="s">
        <v>48</v>
      </c>
      <c r="F164" s="15" t="s">
        <v>28</v>
      </c>
      <c r="G164" s="15" t="s">
        <v>43</v>
      </c>
      <c r="H164" s="15" t="s">
        <v>40</v>
      </c>
      <c r="I164" s="15" t="n">
        <v>4</v>
      </c>
      <c r="J164" s="18" t="n">
        <v>149</v>
      </c>
      <c r="K164" s="18" t="n">
        <v>60</v>
      </c>
      <c r="L164" s="19" t="n">
        <f aca="false">I164*J164</f>
        <v>596</v>
      </c>
      <c r="M164" s="19" t="n">
        <f aca="false">L164-I164*K164</f>
        <v>356</v>
      </c>
    </row>
    <row r="165" customFormat="false" ht="15" hidden="false" customHeight="false" outlineLevel="0" collapsed="false">
      <c r="A165" s="15" t="s">
        <v>207</v>
      </c>
      <c r="B165" s="16" t="n">
        <v>45679</v>
      </c>
      <c r="C165" s="17" t="n">
        <f aca="false">YEAR(B165)</f>
        <v>2025</v>
      </c>
      <c r="D165" s="17" t="n">
        <f aca="false">MONTH(B165)</f>
        <v>1</v>
      </c>
      <c r="E165" s="15" t="s">
        <v>27</v>
      </c>
      <c r="F165" s="15" t="s">
        <v>28</v>
      </c>
      <c r="G165" s="15" t="s">
        <v>29</v>
      </c>
      <c r="H165" s="15" t="s">
        <v>30</v>
      </c>
      <c r="I165" s="15" t="n">
        <v>3</v>
      </c>
      <c r="J165" s="18" t="n">
        <v>100</v>
      </c>
      <c r="K165" s="18" t="n">
        <v>88</v>
      </c>
      <c r="L165" s="19" t="n">
        <f aca="false">I165*J165</f>
        <v>300</v>
      </c>
      <c r="M165" s="19" t="n">
        <f aca="false">L165-I165*K165</f>
        <v>36</v>
      </c>
    </row>
    <row r="166" customFormat="false" ht="15" hidden="false" customHeight="false" outlineLevel="0" collapsed="false">
      <c r="A166" s="15" t="s">
        <v>208</v>
      </c>
      <c r="B166" s="16" t="n">
        <v>45372</v>
      </c>
      <c r="C166" s="17" t="n">
        <f aca="false">YEAR(B166)</f>
        <v>2024</v>
      </c>
      <c r="D166" s="17" t="n">
        <f aca="false">MONTH(B166)</f>
        <v>3</v>
      </c>
      <c r="E166" s="15" t="s">
        <v>37</v>
      </c>
      <c r="F166" s="15" t="s">
        <v>38</v>
      </c>
      <c r="G166" s="15" t="s">
        <v>29</v>
      </c>
      <c r="H166" s="15" t="s">
        <v>50</v>
      </c>
      <c r="I166" s="15" t="n">
        <v>3</v>
      </c>
      <c r="J166" s="18" t="n">
        <v>449</v>
      </c>
      <c r="K166" s="18" t="n">
        <v>260</v>
      </c>
      <c r="L166" s="19" t="n">
        <f aca="false">I166*J166</f>
        <v>1347</v>
      </c>
      <c r="M166" s="19" t="n">
        <f aca="false">L166-I166*K166</f>
        <v>567</v>
      </c>
    </row>
    <row r="167" customFormat="false" ht="15" hidden="false" customHeight="false" outlineLevel="0" collapsed="false">
      <c r="A167" s="15" t="s">
        <v>209</v>
      </c>
      <c r="B167" s="16" t="n">
        <v>45866</v>
      </c>
      <c r="C167" s="17" t="n">
        <f aca="false">YEAR(B167)</f>
        <v>2025</v>
      </c>
      <c r="D167" s="17" t="n">
        <f aca="false">MONTH(B167)</f>
        <v>7</v>
      </c>
      <c r="E167" s="15" t="s">
        <v>27</v>
      </c>
      <c r="F167" s="15" t="s">
        <v>28</v>
      </c>
      <c r="G167" s="15" t="s">
        <v>55</v>
      </c>
      <c r="H167" s="15" t="s">
        <v>50</v>
      </c>
      <c r="I167" s="15" t="n">
        <v>2</v>
      </c>
      <c r="J167" s="18" t="n">
        <v>100</v>
      </c>
      <c r="K167" s="18" t="n">
        <v>88</v>
      </c>
      <c r="L167" s="19" t="n">
        <f aca="false">I167*J167</f>
        <v>200</v>
      </c>
      <c r="M167" s="19" t="n">
        <f aca="false">L167-I167*K167</f>
        <v>24</v>
      </c>
    </row>
    <row r="168" customFormat="false" ht="15" hidden="false" customHeight="false" outlineLevel="0" collapsed="false">
      <c r="A168" s="15" t="s">
        <v>210</v>
      </c>
      <c r="B168" s="16" t="n">
        <v>45608</v>
      </c>
      <c r="C168" s="17" t="n">
        <f aca="false">YEAR(B168)</f>
        <v>2024</v>
      </c>
      <c r="D168" s="17" t="n">
        <f aca="false">MONTH(B168)</f>
        <v>11</v>
      </c>
      <c r="E168" s="15" t="s">
        <v>27</v>
      </c>
      <c r="F168" s="15" t="s">
        <v>28</v>
      </c>
      <c r="G168" s="15" t="s">
        <v>39</v>
      </c>
      <c r="H168" s="15" t="s">
        <v>50</v>
      </c>
      <c r="I168" s="15" t="n">
        <v>4</v>
      </c>
      <c r="J168" s="18" t="n">
        <v>100</v>
      </c>
      <c r="K168" s="18" t="n">
        <v>88</v>
      </c>
      <c r="L168" s="19" t="n">
        <f aca="false">I168*J168</f>
        <v>400</v>
      </c>
      <c r="M168" s="19" t="n">
        <f aca="false">L168-I168*K168</f>
        <v>48</v>
      </c>
    </row>
    <row r="169" customFormat="false" ht="15" hidden="false" customHeight="false" outlineLevel="0" collapsed="false">
      <c r="A169" s="15" t="s">
        <v>211</v>
      </c>
      <c r="B169" s="16" t="n">
        <v>45492</v>
      </c>
      <c r="C169" s="17" t="n">
        <f aca="false">YEAR(B169)</f>
        <v>2024</v>
      </c>
      <c r="D169" s="17" t="n">
        <f aca="false">MONTH(B169)</f>
        <v>7</v>
      </c>
      <c r="E169" s="15" t="s">
        <v>37</v>
      </c>
      <c r="F169" s="15" t="s">
        <v>38</v>
      </c>
      <c r="G169" s="15" t="s">
        <v>39</v>
      </c>
      <c r="H169" s="15" t="s">
        <v>30</v>
      </c>
      <c r="I169" s="15" t="n">
        <v>4</v>
      </c>
      <c r="J169" s="18" t="n">
        <v>449</v>
      </c>
      <c r="K169" s="18" t="n">
        <v>260</v>
      </c>
      <c r="L169" s="19" t="n">
        <f aca="false">I169*J169</f>
        <v>1796</v>
      </c>
      <c r="M169" s="19" t="n">
        <f aca="false">L169-I169*K169</f>
        <v>756</v>
      </c>
    </row>
    <row r="170" customFormat="false" ht="15" hidden="false" customHeight="false" outlineLevel="0" collapsed="false">
      <c r="A170" s="15" t="s">
        <v>212</v>
      </c>
      <c r="B170" s="16" t="n">
        <v>45777</v>
      </c>
      <c r="C170" s="17" t="n">
        <f aca="false">YEAR(B170)</f>
        <v>2025</v>
      </c>
      <c r="D170" s="17" t="n">
        <f aca="false">MONTH(B170)</f>
        <v>4</v>
      </c>
      <c r="E170" s="15" t="s">
        <v>62</v>
      </c>
      <c r="F170" s="15" t="s">
        <v>34</v>
      </c>
      <c r="G170" s="15" t="s">
        <v>39</v>
      </c>
      <c r="H170" s="15" t="s">
        <v>40</v>
      </c>
      <c r="I170" s="15" t="n">
        <v>2</v>
      </c>
      <c r="J170" s="18" t="n">
        <v>4499</v>
      </c>
      <c r="K170" s="18" t="n">
        <v>3400</v>
      </c>
      <c r="L170" s="19" t="n">
        <f aca="false">I170*J170</f>
        <v>8998</v>
      </c>
      <c r="M170" s="19" t="n">
        <f aca="false">L170-I170*K170</f>
        <v>2198</v>
      </c>
    </row>
    <row r="171" customFormat="false" ht="15" hidden="false" customHeight="false" outlineLevel="0" collapsed="false">
      <c r="A171" s="15" t="s">
        <v>213</v>
      </c>
      <c r="B171" s="16" t="n">
        <v>45706</v>
      </c>
      <c r="C171" s="17" t="n">
        <f aca="false">YEAR(B171)</f>
        <v>2025</v>
      </c>
      <c r="D171" s="17" t="n">
        <f aca="false">MONTH(B171)</f>
        <v>2</v>
      </c>
      <c r="E171" s="15" t="s">
        <v>62</v>
      </c>
      <c r="F171" s="15" t="s">
        <v>34</v>
      </c>
      <c r="G171" s="15" t="s">
        <v>29</v>
      </c>
      <c r="H171" s="15" t="s">
        <v>50</v>
      </c>
      <c r="I171" s="15" t="n">
        <v>1</v>
      </c>
      <c r="J171" s="18" t="n">
        <v>4499</v>
      </c>
      <c r="K171" s="18" t="n">
        <v>3400</v>
      </c>
      <c r="L171" s="19" t="n">
        <f aca="false">I171*J171</f>
        <v>4499</v>
      </c>
      <c r="M171" s="19" t="n">
        <f aca="false">L171-I171*K171</f>
        <v>1099</v>
      </c>
    </row>
    <row r="172" customFormat="false" ht="15" hidden="false" customHeight="false" outlineLevel="0" collapsed="false">
      <c r="A172" s="15" t="s">
        <v>214</v>
      </c>
      <c r="B172" s="16" t="n">
        <v>45355</v>
      </c>
      <c r="C172" s="17" t="n">
        <f aca="false">YEAR(B172)</f>
        <v>2024</v>
      </c>
      <c r="D172" s="17" t="n">
        <f aca="false">MONTH(B172)</f>
        <v>3</v>
      </c>
      <c r="E172" s="15" t="s">
        <v>37</v>
      </c>
      <c r="F172" s="15" t="s">
        <v>38</v>
      </c>
      <c r="G172" s="15" t="s">
        <v>35</v>
      </c>
      <c r="H172" s="15" t="s">
        <v>30</v>
      </c>
      <c r="I172" s="15" t="n">
        <v>1</v>
      </c>
      <c r="J172" s="18" t="n">
        <v>449</v>
      </c>
      <c r="K172" s="18" t="n">
        <v>260</v>
      </c>
      <c r="L172" s="19" t="n">
        <f aca="false">I172*J172</f>
        <v>449</v>
      </c>
      <c r="M172" s="19" t="n">
        <f aca="false">L172-I172*K172</f>
        <v>189</v>
      </c>
    </row>
    <row r="173" customFormat="false" ht="15" hidden="false" customHeight="false" outlineLevel="0" collapsed="false">
      <c r="A173" s="15" t="s">
        <v>215</v>
      </c>
      <c r="B173" s="16" t="n">
        <v>45570</v>
      </c>
      <c r="C173" s="17" t="n">
        <f aca="false">YEAR(B173)</f>
        <v>2024</v>
      </c>
      <c r="D173" s="17" t="n">
        <f aca="false">MONTH(B173)</f>
        <v>10</v>
      </c>
      <c r="E173" s="15" t="s">
        <v>37</v>
      </c>
      <c r="F173" s="15" t="s">
        <v>38</v>
      </c>
      <c r="G173" s="15" t="s">
        <v>39</v>
      </c>
      <c r="H173" s="15" t="s">
        <v>50</v>
      </c>
      <c r="I173" s="15" t="n">
        <v>1</v>
      </c>
      <c r="J173" s="18" t="n">
        <v>449</v>
      </c>
      <c r="K173" s="18" t="n">
        <v>260</v>
      </c>
      <c r="L173" s="19" t="n">
        <f aca="false">I173*J173</f>
        <v>449</v>
      </c>
      <c r="M173" s="19" t="n">
        <f aca="false">L173-I173*K173</f>
        <v>189</v>
      </c>
    </row>
    <row r="174" customFormat="false" ht="15" hidden="false" customHeight="false" outlineLevel="0" collapsed="false">
      <c r="A174" s="15" t="s">
        <v>216</v>
      </c>
      <c r="B174" s="16" t="n">
        <v>45616</v>
      </c>
      <c r="C174" s="17" t="n">
        <f aca="false">YEAR(B174)</f>
        <v>2024</v>
      </c>
      <c r="D174" s="17" t="n">
        <f aca="false">MONTH(B174)</f>
        <v>11</v>
      </c>
      <c r="E174" s="15" t="s">
        <v>27</v>
      </c>
      <c r="F174" s="15" t="s">
        <v>28</v>
      </c>
      <c r="G174" s="15" t="s">
        <v>43</v>
      </c>
      <c r="H174" s="15" t="s">
        <v>50</v>
      </c>
      <c r="I174" s="15" t="n">
        <v>3</v>
      </c>
      <c r="J174" s="18" t="n">
        <v>100</v>
      </c>
      <c r="K174" s="18" t="n">
        <v>88</v>
      </c>
      <c r="L174" s="19" t="n">
        <f aca="false">I174*J174</f>
        <v>300</v>
      </c>
      <c r="M174" s="19" t="n">
        <f aca="false">L174-I174*K174</f>
        <v>36</v>
      </c>
    </row>
    <row r="175" customFormat="false" ht="15" hidden="false" customHeight="false" outlineLevel="0" collapsed="false">
      <c r="A175" s="15" t="s">
        <v>217</v>
      </c>
      <c r="B175" s="16" t="n">
        <v>45941</v>
      </c>
      <c r="C175" s="17" t="n">
        <f aca="false">YEAR(B175)</f>
        <v>2025</v>
      </c>
      <c r="D175" s="17" t="n">
        <f aca="false">MONTH(B175)</f>
        <v>10</v>
      </c>
      <c r="E175" s="15" t="s">
        <v>27</v>
      </c>
      <c r="F175" s="15" t="s">
        <v>28</v>
      </c>
      <c r="G175" s="15" t="s">
        <v>43</v>
      </c>
      <c r="H175" s="15" t="s">
        <v>30</v>
      </c>
      <c r="I175" s="15" t="n">
        <v>1</v>
      </c>
      <c r="J175" s="18" t="n">
        <v>100</v>
      </c>
      <c r="K175" s="18" t="n">
        <v>88</v>
      </c>
      <c r="L175" s="19" t="n">
        <f aca="false">I175*J175</f>
        <v>100</v>
      </c>
      <c r="M175" s="19" t="n">
        <f aca="false">L175-I175*K175</f>
        <v>12</v>
      </c>
    </row>
    <row r="176" customFormat="false" ht="15" hidden="false" customHeight="false" outlineLevel="0" collapsed="false">
      <c r="A176" s="15" t="s">
        <v>218</v>
      </c>
      <c r="B176" s="16" t="n">
        <v>45778</v>
      </c>
      <c r="C176" s="17" t="n">
        <f aca="false">YEAR(B176)</f>
        <v>2025</v>
      </c>
      <c r="D176" s="17" t="n">
        <f aca="false">MONTH(B176)</f>
        <v>5</v>
      </c>
      <c r="E176" s="15" t="s">
        <v>48</v>
      </c>
      <c r="F176" s="15" t="s">
        <v>28</v>
      </c>
      <c r="G176" s="15" t="s">
        <v>35</v>
      </c>
      <c r="H176" s="15" t="s">
        <v>30</v>
      </c>
      <c r="I176" s="15" t="n">
        <v>4</v>
      </c>
      <c r="J176" s="18" t="n">
        <v>149</v>
      </c>
      <c r="K176" s="18" t="n">
        <v>60</v>
      </c>
      <c r="L176" s="19" t="n">
        <f aca="false">I176*J176</f>
        <v>596</v>
      </c>
      <c r="M176" s="19" t="n">
        <f aca="false">L176-I176*K176</f>
        <v>356</v>
      </c>
    </row>
    <row r="177" customFormat="false" ht="15" hidden="false" customHeight="false" outlineLevel="0" collapsed="false">
      <c r="A177" s="15" t="s">
        <v>219</v>
      </c>
      <c r="B177" s="16" t="n">
        <v>45549</v>
      </c>
      <c r="C177" s="17" t="n">
        <f aca="false">YEAR(B177)</f>
        <v>2024</v>
      </c>
      <c r="D177" s="17" t="n">
        <f aca="false">MONTH(B177)</f>
        <v>9</v>
      </c>
      <c r="E177" s="15" t="s">
        <v>27</v>
      </c>
      <c r="F177" s="15" t="s">
        <v>28</v>
      </c>
      <c r="G177" s="15" t="s">
        <v>39</v>
      </c>
      <c r="H177" s="15" t="s">
        <v>40</v>
      </c>
      <c r="I177" s="15" t="n">
        <v>4</v>
      </c>
      <c r="J177" s="18" t="n">
        <v>100</v>
      </c>
      <c r="K177" s="18" t="n">
        <v>88</v>
      </c>
      <c r="L177" s="19" t="n">
        <f aca="false">I177*J177</f>
        <v>400</v>
      </c>
      <c r="M177" s="19" t="n">
        <f aca="false">L177-I177*K177</f>
        <v>48</v>
      </c>
    </row>
    <row r="178" customFormat="false" ht="15" hidden="false" customHeight="false" outlineLevel="0" collapsed="false">
      <c r="A178" s="15" t="s">
        <v>220</v>
      </c>
      <c r="B178" s="16" t="n">
        <v>45300</v>
      </c>
      <c r="C178" s="17" t="n">
        <f aca="false">YEAR(B178)</f>
        <v>2024</v>
      </c>
      <c r="D178" s="17" t="n">
        <f aca="false">MONTH(B178)</f>
        <v>1</v>
      </c>
      <c r="E178" s="15" t="s">
        <v>48</v>
      </c>
      <c r="F178" s="15" t="s">
        <v>28</v>
      </c>
      <c r="G178" s="15" t="s">
        <v>35</v>
      </c>
      <c r="H178" s="15" t="s">
        <v>50</v>
      </c>
      <c r="I178" s="15" t="n">
        <v>3</v>
      </c>
      <c r="J178" s="18" t="n">
        <v>149</v>
      </c>
      <c r="K178" s="18" t="n">
        <v>60</v>
      </c>
      <c r="L178" s="19" t="n">
        <f aca="false">I178*J178</f>
        <v>447</v>
      </c>
      <c r="M178" s="19" t="n">
        <f aca="false">L178-I178*K178</f>
        <v>267</v>
      </c>
    </row>
    <row r="179" customFormat="false" ht="15" hidden="false" customHeight="false" outlineLevel="0" collapsed="false">
      <c r="A179" s="15" t="s">
        <v>221</v>
      </c>
      <c r="B179" s="16" t="n">
        <v>45913</v>
      </c>
      <c r="C179" s="17" t="n">
        <f aca="false">YEAR(B179)</f>
        <v>2025</v>
      </c>
      <c r="D179" s="17" t="n">
        <f aca="false">MONTH(B179)</f>
        <v>9</v>
      </c>
      <c r="E179" s="15" t="s">
        <v>37</v>
      </c>
      <c r="F179" s="15" t="s">
        <v>38</v>
      </c>
      <c r="G179" s="15" t="s">
        <v>29</v>
      </c>
      <c r="H179" s="15" t="s">
        <v>50</v>
      </c>
      <c r="I179" s="15" t="n">
        <v>3</v>
      </c>
      <c r="J179" s="18" t="n">
        <v>449</v>
      </c>
      <c r="K179" s="18" t="n">
        <v>260</v>
      </c>
      <c r="L179" s="19" t="n">
        <f aca="false">I179*J179</f>
        <v>1347</v>
      </c>
      <c r="M179" s="19" t="n">
        <f aca="false">L179-I179*K179</f>
        <v>567</v>
      </c>
    </row>
    <row r="180" customFormat="false" ht="15" hidden="false" customHeight="false" outlineLevel="0" collapsed="false">
      <c r="A180" s="15" t="s">
        <v>222</v>
      </c>
      <c r="B180" s="16" t="n">
        <v>45902</v>
      </c>
      <c r="C180" s="17" t="n">
        <f aca="false">YEAR(B180)</f>
        <v>2025</v>
      </c>
      <c r="D180" s="17" t="n">
        <f aca="false">MONTH(B180)</f>
        <v>9</v>
      </c>
      <c r="E180" s="15" t="s">
        <v>33</v>
      </c>
      <c r="F180" s="15" t="s">
        <v>34</v>
      </c>
      <c r="G180" s="15" t="s">
        <v>55</v>
      </c>
      <c r="H180" s="15" t="s">
        <v>30</v>
      </c>
      <c r="I180" s="15" t="n">
        <v>1</v>
      </c>
      <c r="J180" s="18" t="n">
        <v>2799</v>
      </c>
      <c r="K180" s="18" t="n">
        <v>2100</v>
      </c>
      <c r="L180" s="19" t="n">
        <f aca="false">I180*J180</f>
        <v>2799</v>
      </c>
      <c r="M180" s="19" t="n">
        <f aca="false">L180-I180*K180</f>
        <v>699</v>
      </c>
    </row>
    <row r="181" customFormat="false" ht="15" hidden="false" customHeight="false" outlineLevel="0" collapsed="false">
      <c r="A181" s="15" t="s">
        <v>223</v>
      </c>
      <c r="B181" s="16" t="n">
        <v>45709</v>
      </c>
      <c r="C181" s="17" t="n">
        <f aca="false">YEAR(B181)</f>
        <v>2025</v>
      </c>
      <c r="D181" s="17" t="n">
        <f aca="false">MONTH(B181)</f>
        <v>2</v>
      </c>
      <c r="E181" s="15" t="s">
        <v>62</v>
      </c>
      <c r="F181" s="15" t="s">
        <v>34</v>
      </c>
      <c r="G181" s="15" t="s">
        <v>29</v>
      </c>
      <c r="H181" s="15" t="s">
        <v>40</v>
      </c>
      <c r="I181" s="15" t="n">
        <v>1</v>
      </c>
      <c r="J181" s="18" t="n">
        <v>4499</v>
      </c>
      <c r="K181" s="18" t="n">
        <v>3400</v>
      </c>
      <c r="L181" s="19" t="n">
        <f aca="false">I181*J181</f>
        <v>4499</v>
      </c>
      <c r="M181" s="19" t="n">
        <f aca="false">L181-I181*K181</f>
        <v>1099</v>
      </c>
    </row>
    <row r="182" customFormat="false" ht="15" hidden="false" customHeight="false" outlineLevel="0" collapsed="false">
      <c r="A182" s="15" t="s">
        <v>224</v>
      </c>
      <c r="B182" s="16" t="n">
        <v>45456</v>
      </c>
      <c r="C182" s="17" t="n">
        <f aca="false">YEAR(B182)</f>
        <v>2024</v>
      </c>
      <c r="D182" s="17" t="n">
        <f aca="false">MONTH(B182)</f>
        <v>6</v>
      </c>
      <c r="E182" s="15" t="s">
        <v>27</v>
      </c>
      <c r="F182" s="15" t="s">
        <v>28</v>
      </c>
      <c r="G182" s="15" t="s">
        <v>35</v>
      </c>
      <c r="H182" s="15" t="s">
        <v>30</v>
      </c>
      <c r="I182" s="15" t="n">
        <v>1</v>
      </c>
      <c r="J182" s="18" t="n">
        <v>100</v>
      </c>
      <c r="K182" s="18" t="n">
        <v>88</v>
      </c>
      <c r="L182" s="19" t="n">
        <f aca="false">I182*J182</f>
        <v>100</v>
      </c>
      <c r="M182" s="19" t="n">
        <f aca="false">L182-I182*K182</f>
        <v>12</v>
      </c>
    </row>
    <row r="183" customFormat="false" ht="15" hidden="false" customHeight="false" outlineLevel="0" collapsed="false">
      <c r="A183" s="15" t="s">
        <v>225</v>
      </c>
      <c r="B183" s="16" t="n">
        <v>45378</v>
      </c>
      <c r="C183" s="17" t="n">
        <f aca="false">YEAR(B183)</f>
        <v>2024</v>
      </c>
      <c r="D183" s="17" t="n">
        <f aca="false">MONTH(B183)</f>
        <v>3</v>
      </c>
      <c r="E183" s="15" t="s">
        <v>33</v>
      </c>
      <c r="F183" s="15" t="s">
        <v>34</v>
      </c>
      <c r="G183" s="15" t="s">
        <v>29</v>
      </c>
      <c r="H183" s="15" t="s">
        <v>50</v>
      </c>
      <c r="I183" s="15" t="n">
        <v>2</v>
      </c>
      <c r="J183" s="18" t="n">
        <v>2799</v>
      </c>
      <c r="K183" s="18" t="n">
        <v>2100</v>
      </c>
      <c r="L183" s="19" t="n">
        <f aca="false">I183*J183</f>
        <v>5598</v>
      </c>
      <c r="M183" s="19" t="n">
        <f aca="false">L183-I183*K183</f>
        <v>1398</v>
      </c>
    </row>
    <row r="184" customFormat="false" ht="15" hidden="false" customHeight="false" outlineLevel="0" collapsed="false">
      <c r="A184" s="15" t="s">
        <v>226</v>
      </c>
      <c r="B184" s="16" t="n">
        <v>45749</v>
      </c>
      <c r="C184" s="17" t="n">
        <f aca="false">YEAR(B184)</f>
        <v>2025</v>
      </c>
      <c r="D184" s="17" t="n">
        <f aca="false">MONTH(B184)</f>
        <v>4</v>
      </c>
      <c r="E184" s="15" t="s">
        <v>33</v>
      </c>
      <c r="F184" s="15" t="s">
        <v>34</v>
      </c>
      <c r="G184" s="15" t="s">
        <v>29</v>
      </c>
      <c r="H184" s="15" t="s">
        <v>40</v>
      </c>
      <c r="I184" s="15" t="n">
        <v>1</v>
      </c>
      <c r="J184" s="18" t="n">
        <v>2799</v>
      </c>
      <c r="K184" s="18" t="n">
        <v>2100</v>
      </c>
      <c r="L184" s="19" t="n">
        <f aca="false">I184*J184</f>
        <v>2799</v>
      </c>
      <c r="M184" s="19" t="n">
        <f aca="false">L184-I184*K184</f>
        <v>699</v>
      </c>
    </row>
    <row r="185" customFormat="false" ht="15" hidden="false" customHeight="false" outlineLevel="0" collapsed="false">
      <c r="A185" s="15" t="s">
        <v>227</v>
      </c>
      <c r="B185" s="16" t="n">
        <v>45982</v>
      </c>
      <c r="C185" s="17" t="n">
        <f aca="false">YEAR(B185)</f>
        <v>2025</v>
      </c>
      <c r="D185" s="17" t="n">
        <f aca="false">MONTH(B185)</f>
        <v>11</v>
      </c>
      <c r="E185" s="15" t="s">
        <v>37</v>
      </c>
      <c r="F185" s="15" t="s">
        <v>38</v>
      </c>
      <c r="G185" s="15" t="s">
        <v>29</v>
      </c>
      <c r="H185" s="15" t="s">
        <v>30</v>
      </c>
      <c r="I185" s="15" t="n">
        <v>1</v>
      </c>
      <c r="J185" s="18" t="n">
        <v>449</v>
      </c>
      <c r="K185" s="18" t="n">
        <v>260</v>
      </c>
      <c r="L185" s="19" t="n">
        <f aca="false">I185*J185</f>
        <v>449</v>
      </c>
      <c r="M185" s="19" t="n">
        <f aca="false">L185-I185*K185</f>
        <v>189</v>
      </c>
    </row>
    <row r="186" customFormat="false" ht="15" hidden="false" customHeight="false" outlineLevel="0" collapsed="false">
      <c r="A186" s="15" t="s">
        <v>228</v>
      </c>
      <c r="B186" s="16" t="n">
        <v>45578</v>
      </c>
      <c r="C186" s="17" t="n">
        <f aca="false">YEAR(B186)</f>
        <v>2024</v>
      </c>
      <c r="D186" s="17" t="n">
        <f aca="false">MONTH(B186)</f>
        <v>10</v>
      </c>
      <c r="E186" s="15" t="s">
        <v>57</v>
      </c>
      <c r="F186" s="15" t="s">
        <v>38</v>
      </c>
      <c r="G186" s="15" t="s">
        <v>39</v>
      </c>
      <c r="H186" s="15" t="s">
        <v>30</v>
      </c>
      <c r="I186" s="15" t="n">
        <v>3</v>
      </c>
      <c r="J186" s="18" t="n">
        <v>699</v>
      </c>
      <c r="K186" s="18" t="n">
        <v>420</v>
      </c>
      <c r="L186" s="19" t="n">
        <f aca="false">I186*J186</f>
        <v>2097</v>
      </c>
      <c r="M186" s="19" t="n">
        <f aca="false">L186-I186*K186</f>
        <v>837</v>
      </c>
    </row>
    <row r="187" customFormat="false" ht="15" hidden="false" customHeight="false" outlineLevel="0" collapsed="false">
      <c r="A187" s="15" t="s">
        <v>229</v>
      </c>
      <c r="B187" s="16" t="n">
        <v>45741</v>
      </c>
      <c r="C187" s="17" t="n">
        <f aca="false">YEAR(B187)</f>
        <v>2025</v>
      </c>
      <c r="D187" s="17" t="n">
        <f aca="false">MONTH(B187)</f>
        <v>3</v>
      </c>
      <c r="E187" s="15" t="s">
        <v>37</v>
      </c>
      <c r="F187" s="15" t="s">
        <v>38</v>
      </c>
      <c r="G187" s="15" t="s">
        <v>39</v>
      </c>
      <c r="H187" s="15" t="s">
        <v>30</v>
      </c>
      <c r="I187" s="15" t="n">
        <v>2</v>
      </c>
      <c r="J187" s="18" t="n">
        <v>449</v>
      </c>
      <c r="K187" s="18" t="n">
        <v>260</v>
      </c>
      <c r="L187" s="19" t="n">
        <f aca="false">I187*J187</f>
        <v>898</v>
      </c>
      <c r="M187" s="19" t="n">
        <f aca="false">L187-I187*K187</f>
        <v>378</v>
      </c>
    </row>
    <row r="188" customFormat="false" ht="15" hidden="false" customHeight="false" outlineLevel="0" collapsed="false">
      <c r="A188" s="15" t="s">
        <v>230</v>
      </c>
      <c r="B188" s="16" t="n">
        <v>45884</v>
      </c>
      <c r="C188" s="17" t="n">
        <f aca="false">YEAR(B188)</f>
        <v>2025</v>
      </c>
      <c r="D188" s="17" t="n">
        <f aca="false">MONTH(B188)</f>
        <v>8</v>
      </c>
      <c r="E188" s="15" t="s">
        <v>33</v>
      </c>
      <c r="F188" s="15" t="s">
        <v>34</v>
      </c>
      <c r="G188" s="15" t="s">
        <v>55</v>
      </c>
      <c r="H188" s="15" t="s">
        <v>50</v>
      </c>
      <c r="I188" s="15" t="n">
        <v>1</v>
      </c>
      <c r="J188" s="18" t="n">
        <v>2799</v>
      </c>
      <c r="K188" s="18" t="n">
        <v>2100</v>
      </c>
      <c r="L188" s="19" t="n">
        <f aca="false">I188*J188</f>
        <v>2799</v>
      </c>
      <c r="M188" s="19" t="n">
        <f aca="false">L188-I188*K188</f>
        <v>699</v>
      </c>
    </row>
    <row r="189" customFormat="false" ht="15" hidden="false" customHeight="false" outlineLevel="0" collapsed="false">
      <c r="A189" s="15" t="s">
        <v>231</v>
      </c>
      <c r="B189" s="16" t="n">
        <v>45811</v>
      </c>
      <c r="C189" s="17" t="n">
        <f aca="false">YEAR(B189)</f>
        <v>2025</v>
      </c>
      <c r="D189" s="17" t="n">
        <f aca="false">MONTH(B189)</f>
        <v>6</v>
      </c>
      <c r="E189" s="15" t="s">
        <v>57</v>
      </c>
      <c r="F189" s="15" t="s">
        <v>38</v>
      </c>
      <c r="G189" s="15" t="s">
        <v>29</v>
      </c>
      <c r="H189" s="15" t="s">
        <v>50</v>
      </c>
      <c r="I189" s="15" t="n">
        <v>1</v>
      </c>
      <c r="J189" s="18" t="n">
        <v>699</v>
      </c>
      <c r="K189" s="18" t="n">
        <v>420</v>
      </c>
      <c r="L189" s="19" t="n">
        <f aca="false">I189*J189</f>
        <v>699</v>
      </c>
      <c r="M189" s="19" t="n">
        <f aca="false">L189-I189*K189</f>
        <v>279</v>
      </c>
    </row>
    <row r="190" customFormat="false" ht="15" hidden="false" customHeight="false" outlineLevel="0" collapsed="false">
      <c r="A190" s="15" t="s">
        <v>232</v>
      </c>
      <c r="B190" s="16" t="n">
        <v>45396</v>
      </c>
      <c r="C190" s="17" t="n">
        <f aca="false">YEAR(B190)</f>
        <v>2024</v>
      </c>
      <c r="D190" s="17" t="n">
        <f aca="false">MONTH(B190)</f>
        <v>4</v>
      </c>
      <c r="E190" s="15" t="s">
        <v>62</v>
      </c>
      <c r="F190" s="15" t="s">
        <v>34</v>
      </c>
      <c r="G190" s="15" t="s">
        <v>35</v>
      </c>
      <c r="H190" s="15" t="s">
        <v>50</v>
      </c>
      <c r="I190" s="15" t="n">
        <v>1</v>
      </c>
      <c r="J190" s="18" t="n">
        <v>4499</v>
      </c>
      <c r="K190" s="18" t="n">
        <v>3400</v>
      </c>
      <c r="L190" s="19" t="n">
        <f aca="false">I190*J190</f>
        <v>4499</v>
      </c>
      <c r="M190" s="19" t="n">
        <f aca="false">L190-I190*K190</f>
        <v>1099</v>
      </c>
    </row>
    <row r="191" customFormat="false" ht="15" hidden="false" customHeight="false" outlineLevel="0" collapsed="false">
      <c r="A191" s="15" t="s">
        <v>233</v>
      </c>
      <c r="B191" s="16" t="n">
        <v>45333</v>
      </c>
      <c r="C191" s="17" t="n">
        <f aca="false">YEAR(B191)</f>
        <v>2024</v>
      </c>
      <c r="D191" s="17" t="n">
        <f aca="false">MONTH(B191)</f>
        <v>2</v>
      </c>
      <c r="E191" s="15" t="s">
        <v>27</v>
      </c>
      <c r="F191" s="15" t="s">
        <v>28</v>
      </c>
      <c r="G191" s="15" t="s">
        <v>39</v>
      </c>
      <c r="H191" s="15" t="s">
        <v>30</v>
      </c>
      <c r="I191" s="15" t="n">
        <v>2</v>
      </c>
      <c r="J191" s="18" t="n">
        <v>100</v>
      </c>
      <c r="K191" s="18" t="n">
        <v>88</v>
      </c>
      <c r="L191" s="19" t="n">
        <f aca="false">I191*J191</f>
        <v>200</v>
      </c>
      <c r="M191" s="19" t="n">
        <f aca="false">L191-I191*K191</f>
        <v>24</v>
      </c>
    </row>
    <row r="192" customFormat="false" ht="15" hidden="false" customHeight="false" outlineLevel="0" collapsed="false">
      <c r="A192" s="15" t="s">
        <v>234</v>
      </c>
      <c r="B192" s="16" t="n">
        <v>45889</v>
      </c>
      <c r="C192" s="17" t="n">
        <f aca="false">YEAR(B192)</f>
        <v>2025</v>
      </c>
      <c r="D192" s="17" t="n">
        <f aca="false">MONTH(B192)</f>
        <v>8</v>
      </c>
      <c r="E192" s="15" t="s">
        <v>33</v>
      </c>
      <c r="F192" s="15" t="s">
        <v>34</v>
      </c>
      <c r="G192" s="15" t="s">
        <v>55</v>
      </c>
      <c r="H192" s="15" t="s">
        <v>50</v>
      </c>
      <c r="I192" s="15" t="n">
        <v>1</v>
      </c>
      <c r="J192" s="18" t="n">
        <v>2799</v>
      </c>
      <c r="K192" s="18" t="n">
        <v>2100</v>
      </c>
      <c r="L192" s="19" t="n">
        <f aca="false">I192*J192</f>
        <v>2799</v>
      </c>
      <c r="M192" s="19" t="n">
        <f aca="false">L192-I192*K192</f>
        <v>699</v>
      </c>
    </row>
    <row r="193" customFormat="false" ht="15" hidden="false" customHeight="false" outlineLevel="0" collapsed="false">
      <c r="A193" s="15" t="s">
        <v>235</v>
      </c>
      <c r="B193" s="16" t="n">
        <v>45751</v>
      </c>
      <c r="C193" s="17" t="n">
        <f aca="false">YEAR(B193)</f>
        <v>2025</v>
      </c>
      <c r="D193" s="17" t="n">
        <f aca="false">MONTH(B193)</f>
        <v>4</v>
      </c>
      <c r="E193" s="15" t="s">
        <v>57</v>
      </c>
      <c r="F193" s="15" t="s">
        <v>38</v>
      </c>
      <c r="G193" s="15" t="s">
        <v>39</v>
      </c>
      <c r="H193" s="15" t="s">
        <v>40</v>
      </c>
      <c r="I193" s="15" t="n">
        <v>1</v>
      </c>
      <c r="J193" s="18" t="n">
        <v>699</v>
      </c>
      <c r="K193" s="18" t="n">
        <v>420</v>
      </c>
      <c r="L193" s="19" t="n">
        <f aca="false">I193*J193</f>
        <v>699</v>
      </c>
      <c r="M193" s="19" t="n">
        <f aca="false">L193-I193*K193</f>
        <v>279</v>
      </c>
    </row>
    <row r="194" customFormat="false" ht="15" hidden="false" customHeight="false" outlineLevel="0" collapsed="false">
      <c r="A194" s="15" t="s">
        <v>236</v>
      </c>
      <c r="B194" s="16" t="n">
        <v>45926</v>
      </c>
      <c r="C194" s="17" t="n">
        <f aca="false">YEAR(B194)</f>
        <v>2025</v>
      </c>
      <c r="D194" s="17" t="n">
        <f aca="false">MONTH(B194)</f>
        <v>9</v>
      </c>
      <c r="E194" s="15" t="s">
        <v>37</v>
      </c>
      <c r="F194" s="15" t="s">
        <v>38</v>
      </c>
      <c r="G194" s="15" t="s">
        <v>55</v>
      </c>
      <c r="H194" s="15" t="s">
        <v>30</v>
      </c>
      <c r="I194" s="15" t="n">
        <v>1</v>
      </c>
      <c r="J194" s="18" t="n">
        <v>449</v>
      </c>
      <c r="K194" s="18" t="n">
        <v>260</v>
      </c>
      <c r="L194" s="19" t="n">
        <f aca="false">I194*J194</f>
        <v>449</v>
      </c>
      <c r="M194" s="19" t="n">
        <f aca="false">L194-I194*K194</f>
        <v>189</v>
      </c>
    </row>
    <row r="195" customFormat="false" ht="15" hidden="false" customHeight="false" outlineLevel="0" collapsed="false">
      <c r="A195" s="15" t="s">
        <v>237</v>
      </c>
      <c r="B195" s="16" t="n">
        <v>45500</v>
      </c>
      <c r="C195" s="17" t="n">
        <f aca="false">YEAR(B195)</f>
        <v>2024</v>
      </c>
      <c r="D195" s="17" t="n">
        <f aca="false">MONTH(B195)</f>
        <v>7</v>
      </c>
      <c r="E195" s="15" t="s">
        <v>27</v>
      </c>
      <c r="F195" s="15" t="s">
        <v>28</v>
      </c>
      <c r="G195" s="15" t="s">
        <v>29</v>
      </c>
      <c r="H195" s="15" t="s">
        <v>40</v>
      </c>
      <c r="I195" s="15" t="n">
        <v>1</v>
      </c>
      <c r="J195" s="18" t="n">
        <v>100</v>
      </c>
      <c r="K195" s="18" t="n">
        <v>88</v>
      </c>
      <c r="L195" s="19" t="n">
        <f aca="false">I195*J195</f>
        <v>100</v>
      </c>
      <c r="M195" s="19" t="n">
        <f aca="false">L195-I195*K195</f>
        <v>12</v>
      </c>
    </row>
    <row r="196" customFormat="false" ht="15" hidden="false" customHeight="false" outlineLevel="0" collapsed="false">
      <c r="A196" s="15" t="s">
        <v>238</v>
      </c>
      <c r="B196" s="16" t="n">
        <v>45500</v>
      </c>
      <c r="C196" s="17" t="n">
        <f aca="false">YEAR(B196)</f>
        <v>2024</v>
      </c>
      <c r="D196" s="17" t="n">
        <f aca="false">MONTH(B196)</f>
        <v>7</v>
      </c>
      <c r="E196" s="15" t="s">
        <v>48</v>
      </c>
      <c r="F196" s="15" t="s">
        <v>28</v>
      </c>
      <c r="G196" s="15" t="s">
        <v>29</v>
      </c>
      <c r="H196" s="15" t="s">
        <v>30</v>
      </c>
      <c r="I196" s="15" t="n">
        <v>3</v>
      </c>
      <c r="J196" s="18" t="n">
        <v>149</v>
      </c>
      <c r="K196" s="18" t="n">
        <v>60</v>
      </c>
      <c r="L196" s="19" t="n">
        <f aca="false">I196*J196</f>
        <v>447</v>
      </c>
      <c r="M196" s="19" t="n">
        <f aca="false">L196-I196*K196</f>
        <v>267</v>
      </c>
    </row>
    <row r="197" customFormat="false" ht="15" hidden="false" customHeight="false" outlineLevel="0" collapsed="false">
      <c r="A197" s="15" t="s">
        <v>239</v>
      </c>
      <c r="B197" s="16" t="n">
        <v>45927</v>
      </c>
      <c r="C197" s="17" t="n">
        <f aca="false">YEAR(B197)</f>
        <v>2025</v>
      </c>
      <c r="D197" s="17" t="n">
        <f aca="false">MONTH(B197)</f>
        <v>9</v>
      </c>
      <c r="E197" s="15" t="s">
        <v>37</v>
      </c>
      <c r="F197" s="15" t="s">
        <v>38</v>
      </c>
      <c r="G197" s="15" t="s">
        <v>43</v>
      </c>
      <c r="H197" s="15" t="s">
        <v>40</v>
      </c>
      <c r="I197" s="15" t="n">
        <v>2</v>
      </c>
      <c r="J197" s="18" t="n">
        <v>449</v>
      </c>
      <c r="K197" s="18" t="n">
        <v>260</v>
      </c>
      <c r="L197" s="19" t="n">
        <f aca="false">I197*J197</f>
        <v>898</v>
      </c>
      <c r="M197" s="19" t="n">
        <f aca="false">L197-I197*K197</f>
        <v>378</v>
      </c>
    </row>
    <row r="198" customFormat="false" ht="15" hidden="false" customHeight="false" outlineLevel="0" collapsed="false">
      <c r="A198" s="15" t="s">
        <v>240</v>
      </c>
      <c r="B198" s="16" t="n">
        <v>45787</v>
      </c>
      <c r="C198" s="17" t="n">
        <f aca="false">YEAR(B198)</f>
        <v>2025</v>
      </c>
      <c r="D198" s="17" t="n">
        <f aca="false">MONTH(B198)</f>
        <v>5</v>
      </c>
      <c r="E198" s="15" t="s">
        <v>62</v>
      </c>
      <c r="F198" s="15" t="s">
        <v>34</v>
      </c>
      <c r="G198" s="15" t="s">
        <v>29</v>
      </c>
      <c r="H198" s="15" t="s">
        <v>40</v>
      </c>
      <c r="I198" s="15" t="n">
        <v>1</v>
      </c>
      <c r="J198" s="18" t="n">
        <v>4499</v>
      </c>
      <c r="K198" s="18" t="n">
        <v>3400</v>
      </c>
      <c r="L198" s="19" t="n">
        <f aca="false">I198*J198</f>
        <v>4499</v>
      </c>
      <c r="M198" s="19" t="n">
        <f aca="false">L198-I198*K198</f>
        <v>1099</v>
      </c>
    </row>
    <row r="199" customFormat="false" ht="15" hidden="false" customHeight="false" outlineLevel="0" collapsed="false">
      <c r="A199" s="15" t="s">
        <v>241</v>
      </c>
      <c r="B199" s="16" t="n">
        <v>45450</v>
      </c>
      <c r="C199" s="17" t="n">
        <f aca="false">YEAR(B199)</f>
        <v>2024</v>
      </c>
      <c r="D199" s="17" t="n">
        <f aca="false">MONTH(B199)</f>
        <v>6</v>
      </c>
      <c r="E199" s="15" t="s">
        <v>48</v>
      </c>
      <c r="F199" s="15" t="s">
        <v>28</v>
      </c>
      <c r="G199" s="15" t="s">
        <v>29</v>
      </c>
      <c r="H199" s="15" t="s">
        <v>30</v>
      </c>
      <c r="I199" s="15" t="n">
        <v>1</v>
      </c>
      <c r="J199" s="18" t="n">
        <v>149</v>
      </c>
      <c r="K199" s="18" t="n">
        <v>60</v>
      </c>
      <c r="L199" s="19" t="n">
        <f aca="false">I199*J199</f>
        <v>149</v>
      </c>
      <c r="M199" s="19" t="n">
        <f aca="false">L199-I199*K199</f>
        <v>89</v>
      </c>
    </row>
    <row r="200" customFormat="false" ht="15" hidden="false" customHeight="false" outlineLevel="0" collapsed="false">
      <c r="A200" s="15" t="s">
        <v>242</v>
      </c>
      <c r="B200" s="16" t="n">
        <v>45569</v>
      </c>
      <c r="C200" s="17" t="n">
        <f aca="false">YEAR(B200)</f>
        <v>2024</v>
      </c>
      <c r="D200" s="17" t="n">
        <f aca="false">MONTH(B200)</f>
        <v>10</v>
      </c>
      <c r="E200" s="15" t="s">
        <v>37</v>
      </c>
      <c r="F200" s="15" t="s">
        <v>38</v>
      </c>
      <c r="G200" s="15" t="s">
        <v>29</v>
      </c>
      <c r="H200" s="15" t="s">
        <v>40</v>
      </c>
      <c r="I200" s="15" t="n">
        <v>3</v>
      </c>
      <c r="J200" s="18" t="n">
        <v>449</v>
      </c>
      <c r="K200" s="18" t="n">
        <v>260</v>
      </c>
      <c r="L200" s="19" t="n">
        <f aca="false">I200*J200</f>
        <v>1347</v>
      </c>
      <c r="M200" s="19" t="n">
        <f aca="false">L200-I200*K200</f>
        <v>567</v>
      </c>
    </row>
    <row r="201" customFormat="false" ht="15" hidden="false" customHeight="false" outlineLevel="0" collapsed="false">
      <c r="A201" s="15" t="s">
        <v>243</v>
      </c>
      <c r="B201" s="16" t="n">
        <v>45344</v>
      </c>
      <c r="C201" s="17" t="n">
        <f aca="false">YEAR(B201)</f>
        <v>2024</v>
      </c>
      <c r="D201" s="17" t="n">
        <f aca="false">MONTH(B201)</f>
        <v>2</v>
      </c>
      <c r="E201" s="15" t="s">
        <v>37</v>
      </c>
      <c r="F201" s="15" t="s">
        <v>38</v>
      </c>
      <c r="G201" s="15" t="s">
        <v>29</v>
      </c>
      <c r="H201" s="15" t="s">
        <v>30</v>
      </c>
      <c r="I201" s="15" t="n">
        <v>3</v>
      </c>
      <c r="J201" s="18" t="n">
        <v>449</v>
      </c>
      <c r="K201" s="18" t="n">
        <v>260</v>
      </c>
      <c r="L201" s="19" t="n">
        <f aca="false">I201*J201</f>
        <v>1347</v>
      </c>
      <c r="M201" s="19" t="n">
        <f aca="false">L201-I201*K201</f>
        <v>567</v>
      </c>
    </row>
    <row r="202" customFormat="false" ht="15" hidden="false" customHeight="false" outlineLevel="0" collapsed="false">
      <c r="A202" s="15" t="s">
        <v>244</v>
      </c>
      <c r="B202" s="16" t="n">
        <v>45664</v>
      </c>
      <c r="C202" s="17" t="n">
        <f aca="false">YEAR(B202)</f>
        <v>2025</v>
      </c>
      <c r="D202" s="17" t="n">
        <f aca="false">MONTH(B202)</f>
        <v>1</v>
      </c>
      <c r="E202" s="15" t="s">
        <v>48</v>
      </c>
      <c r="F202" s="15" t="s">
        <v>28</v>
      </c>
      <c r="G202" s="15" t="s">
        <v>29</v>
      </c>
      <c r="H202" s="15" t="s">
        <v>30</v>
      </c>
      <c r="I202" s="15" t="n">
        <v>4</v>
      </c>
      <c r="J202" s="18" t="n">
        <v>149</v>
      </c>
      <c r="K202" s="18" t="n">
        <v>60</v>
      </c>
      <c r="L202" s="19" t="n">
        <f aca="false">I202*J202</f>
        <v>596</v>
      </c>
      <c r="M202" s="19" t="n">
        <f aca="false">L202-I202*K202</f>
        <v>356</v>
      </c>
    </row>
    <row r="203" customFormat="false" ht="15" hidden="false" customHeight="false" outlineLevel="0" collapsed="false">
      <c r="A203" s="15" t="s">
        <v>245</v>
      </c>
      <c r="B203" s="16" t="n">
        <v>45298</v>
      </c>
      <c r="C203" s="17" t="n">
        <f aca="false">YEAR(B203)</f>
        <v>2024</v>
      </c>
      <c r="D203" s="17" t="n">
        <f aca="false">MONTH(B203)</f>
        <v>1</v>
      </c>
      <c r="E203" s="15" t="s">
        <v>37</v>
      </c>
      <c r="F203" s="15" t="s">
        <v>38</v>
      </c>
      <c r="G203" s="15" t="s">
        <v>29</v>
      </c>
      <c r="H203" s="15" t="s">
        <v>50</v>
      </c>
      <c r="I203" s="15" t="n">
        <v>2</v>
      </c>
      <c r="J203" s="18" t="n">
        <v>449</v>
      </c>
      <c r="K203" s="18" t="n">
        <v>260</v>
      </c>
      <c r="L203" s="19" t="n">
        <f aca="false">I203*J203</f>
        <v>898</v>
      </c>
      <c r="M203" s="19" t="n">
        <f aca="false">L203-I203*K203</f>
        <v>378</v>
      </c>
    </row>
    <row r="204" customFormat="false" ht="15" hidden="false" customHeight="false" outlineLevel="0" collapsed="false">
      <c r="A204" s="15" t="s">
        <v>246</v>
      </c>
      <c r="B204" s="16" t="n">
        <v>45707</v>
      </c>
      <c r="C204" s="17" t="n">
        <f aca="false">YEAR(B204)</f>
        <v>2025</v>
      </c>
      <c r="D204" s="17" t="n">
        <f aca="false">MONTH(B204)</f>
        <v>2</v>
      </c>
      <c r="E204" s="15" t="s">
        <v>57</v>
      </c>
      <c r="F204" s="15" t="s">
        <v>38</v>
      </c>
      <c r="G204" s="15" t="s">
        <v>29</v>
      </c>
      <c r="H204" s="15" t="s">
        <v>30</v>
      </c>
      <c r="I204" s="15" t="n">
        <v>3</v>
      </c>
      <c r="J204" s="18" t="n">
        <v>699</v>
      </c>
      <c r="K204" s="18" t="n">
        <v>420</v>
      </c>
      <c r="L204" s="19" t="n">
        <f aca="false">I204*J204</f>
        <v>2097</v>
      </c>
      <c r="M204" s="19" t="n">
        <f aca="false">L204-I204*K204</f>
        <v>837</v>
      </c>
    </row>
    <row r="205" customFormat="false" ht="15" hidden="false" customHeight="false" outlineLevel="0" collapsed="false">
      <c r="A205" s="15" t="s">
        <v>247</v>
      </c>
      <c r="B205" s="16" t="n">
        <v>45307</v>
      </c>
      <c r="C205" s="17" t="n">
        <f aca="false">YEAR(B205)</f>
        <v>2024</v>
      </c>
      <c r="D205" s="17" t="n">
        <f aca="false">MONTH(B205)</f>
        <v>1</v>
      </c>
      <c r="E205" s="15" t="s">
        <v>62</v>
      </c>
      <c r="F205" s="15" t="s">
        <v>34</v>
      </c>
      <c r="G205" s="15" t="s">
        <v>29</v>
      </c>
      <c r="H205" s="15" t="s">
        <v>50</v>
      </c>
      <c r="I205" s="15" t="n">
        <v>1</v>
      </c>
      <c r="J205" s="18" t="n">
        <v>4499</v>
      </c>
      <c r="K205" s="18" t="n">
        <v>3400</v>
      </c>
      <c r="L205" s="19" t="n">
        <f aca="false">I205*J205</f>
        <v>4499</v>
      </c>
      <c r="M205" s="19" t="n">
        <f aca="false">L205-I205*K205</f>
        <v>1099</v>
      </c>
    </row>
    <row r="206" customFormat="false" ht="15" hidden="false" customHeight="false" outlineLevel="0" collapsed="false">
      <c r="A206" s="15" t="s">
        <v>248</v>
      </c>
      <c r="B206" s="16" t="n">
        <v>45383</v>
      </c>
      <c r="C206" s="17" t="n">
        <f aca="false">YEAR(B206)</f>
        <v>2024</v>
      </c>
      <c r="D206" s="17" t="n">
        <f aca="false">MONTH(B206)</f>
        <v>4</v>
      </c>
      <c r="E206" s="15" t="s">
        <v>57</v>
      </c>
      <c r="F206" s="15" t="s">
        <v>38</v>
      </c>
      <c r="G206" s="15" t="s">
        <v>29</v>
      </c>
      <c r="H206" s="15" t="s">
        <v>30</v>
      </c>
      <c r="I206" s="15" t="n">
        <v>3</v>
      </c>
      <c r="J206" s="18" t="n">
        <v>699</v>
      </c>
      <c r="K206" s="18" t="n">
        <v>420</v>
      </c>
      <c r="L206" s="19" t="n">
        <f aca="false">I206*J206</f>
        <v>2097</v>
      </c>
      <c r="M206" s="19" t="n">
        <f aca="false">L206-I206*K206</f>
        <v>837</v>
      </c>
    </row>
    <row r="207" customFormat="false" ht="15" hidden="false" customHeight="false" outlineLevel="0" collapsed="false">
      <c r="A207" s="15" t="s">
        <v>249</v>
      </c>
      <c r="B207" s="16" t="n">
        <v>45648</v>
      </c>
      <c r="C207" s="17" t="n">
        <f aca="false">YEAR(B207)</f>
        <v>2024</v>
      </c>
      <c r="D207" s="17" t="n">
        <f aca="false">MONTH(B207)</f>
        <v>12</v>
      </c>
      <c r="E207" s="15" t="s">
        <v>37</v>
      </c>
      <c r="F207" s="15" t="s">
        <v>38</v>
      </c>
      <c r="G207" s="15" t="s">
        <v>35</v>
      </c>
      <c r="H207" s="15" t="s">
        <v>30</v>
      </c>
      <c r="I207" s="15" t="n">
        <v>2</v>
      </c>
      <c r="J207" s="18" t="n">
        <v>449</v>
      </c>
      <c r="K207" s="18" t="n">
        <v>260</v>
      </c>
      <c r="L207" s="19" t="n">
        <f aca="false">I207*J207</f>
        <v>898</v>
      </c>
      <c r="M207" s="19" t="n">
        <f aca="false">L207-I207*K207</f>
        <v>378</v>
      </c>
    </row>
    <row r="208" customFormat="false" ht="15" hidden="false" customHeight="false" outlineLevel="0" collapsed="false">
      <c r="A208" s="15" t="s">
        <v>250</v>
      </c>
      <c r="B208" s="16" t="n">
        <v>45794</v>
      </c>
      <c r="C208" s="17" t="n">
        <f aca="false">YEAR(B208)</f>
        <v>2025</v>
      </c>
      <c r="D208" s="17" t="n">
        <f aca="false">MONTH(B208)</f>
        <v>5</v>
      </c>
      <c r="E208" s="15" t="s">
        <v>48</v>
      </c>
      <c r="F208" s="15" t="s">
        <v>28</v>
      </c>
      <c r="G208" s="15" t="s">
        <v>55</v>
      </c>
      <c r="H208" s="15" t="s">
        <v>50</v>
      </c>
      <c r="I208" s="15" t="n">
        <v>2</v>
      </c>
      <c r="J208" s="18" t="n">
        <v>149</v>
      </c>
      <c r="K208" s="18" t="n">
        <v>60</v>
      </c>
      <c r="L208" s="19" t="n">
        <f aca="false">I208*J208</f>
        <v>298</v>
      </c>
      <c r="M208" s="19" t="n">
        <f aca="false">L208-I208*K208</f>
        <v>178</v>
      </c>
    </row>
    <row r="209" customFormat="false" ht="15" hidden="false" customHeight="false" outlineLevel="0" collapsed="false">
      <c r="A209" s="15" t="s">
        <v>251</v>
      </c>
      <c r="B209" s="16" t="n">
        <v>45336</v>
      </c>
      <c r="C209" s="17" t="n">
        <f aca="false">YEAR(B209)</f>
        <v>2024</v>
      </c>
      <c r="D209" s="17" t="n">
        <f aca="false">MONTH(B209)</f>
        <v>2</v>
      </c>
      <c r="E209" s="15" t="s">
        <v>27</v>
      </c>
      <c r="F209" s="15" t="s">
        <v>28</v>
      </c>
      <c r="G209" s="15" t="s">
        <v>55</v>
      </c>
      <c r="H209" s="15" t="s">
        <v>40</v>
      </c>
      <c r="I209" s="15" t="n">
        <v>4</v>
      </c>
      <c r="J209" s="18" t="n">
        <v>100</v>
      </c>
      <c r="K209" s="18" t="n">
        <v>88</v>
      </c>
      <c r="L209" s="19" t="n">
        <f aca="false">I209*J209</f>
        <v>400</v>
      </c>
      <c r="M209" s="19" t="n">
        <f aca="false">L209-I209*K209</f>
        <v>48</v>
      </c>
    </row>
    <row r="210" customFormat="false" ht="15" hidden="false" customHeight="false" outlineLevel="0" collapsed="false">
      <c r="A210" s="15" t="s">
        <v>252</v>
      </c>
      <c r="B210" s="16" t="n">
        <v>45943</v>
      </c>
      <c r="C210" s="17" t="n">
        <f aca="false">YEAR(B210)</f>
        <v>2025</v>
      </c>
      <c r="D210" s="17" t="n">
        <f aca="false">MONTH(B210)</f>
        <v>10</v>
      </c>
      <c r="E210" s="15" t="s">
        <v>37</v>
      </c>
      <c r="F210" s="15" t="s">
        <v>38</v>
      </c>
      <c r="G210" s="15" t="s">
        <v>29</v>
      </c>
      <c r="H210" s="15" t="s">
        <v>50</v>
      </c>
      <c r="I210" s="15" t="n">
        <v>2</v>
      </c>
      <c r="J210" s="18" t="n">
        <v>449</v>
      </c>
      <c r="K210" s="18" t="n">
        <v>260</v>
      </c>
      <c r="L210" s="19" t="n">
        <f aca="false">I210*J210</f>
        <v>898</v>
      </c>
      <c r="M210" s="19" t="n">
        <f aca="false">L210-I210*K210</f>
        <v>378</v>
      </c>
    </row>
    <row r="211" customFormat="false" ht="15" hidden="false" customHeight="false" outlineLevel="0" collapsed="false">
      <c r="A211" s="15" t="s">
        <v>253</v>
      </c>
      <c r="B211" s="16" t="n">
        <v>45927</v>
      </c>
      <c r="C211" s="17" t="n">
        <f aca="false">YEAR(B211)</f>
        <v>2025</v>
      </c>
      <c r="D211" s="17" t="n">
        <f aca="false">MONTH(B211)</f>
        <v>9</v>
      </c>
      <c r="E211" s="15" t="s">
        <v>37</v>
      </c>
      <c r="F211" s="15" t="s">
        <v>38</v>
      </c>
      <c r="G211" s="15" t="s">
        <v>35</v>
      </c>
      <c r="H211" s="15" t="s">
        <v>30</v>
      </c>
      <c r="I211" s="15" t="n">
        <v>2</v>
      </c>
      <c r="J211" s="18" t="n">
        <v>449</v>
      </c>
      <c r="K211" s="18" t="n">
        <v>260</v>
      </c>
      <c r="L211" s="19" t="n">
        <f aca="false">I211*J211</f>
        <v>898</v>
      </c>
      <c r="M211" s="19" t="n">
        <f aca="false">L211-I211*K211</f>
        <v>378</v>
      </c>
    </row>
    <row r="212" customFormat="false" ht="15" hidden="false" customHeight="false" outlineLevel="0" collapsed="false">
      <c r="A212" s="15" t="s">
        <v>254</v>
      </c>
      <c r="B212" s="16" t="n">
        <v>45515</v>
      </c>
      <c r="C212" s="17" t="n">
        <f aca="false">YEAR(B212)</f>
        <v>2024</v>
      </c>
      <c r="D212" s="17" t="n">
        <f aca="false">MONTH(B212)</f>
        <v>8</v>
      </c>
      <c r="E212" s="15" t="s">
        <v>62</v>
      </c>
      <c r="F212" s="15" t="s">
        <v>34</v>
      </c>
      <c r="G212" s="15" t="s">
        <v>55</v>
      </c>
      <c r="H212" s="15" t="s">
        <v>30</v>
      </c>
      <c r="I212" s="15" t="n">
        <v>1</v>
      </c>
      <c r="J212" s="18" t="n">
        <v>4499</v>
      </c>
      <c r="K212" s="18" t="n">
        <v>3400</v>
      </c>
      <c r="L212" s="19" t="n">
        <f aca="false">I212*J212</f>
        <v>4499</v>
      </c>
      <c r="M212" s="19" t="n">
        <f aca="false">L212-I212*K212</f>
        <v>1099</v>
      </c>
    </row>
    <row r="213" customFormat="false" ht="15" hidden="false" customHeight="false" outlineLevel="0" collapsed="false">
      <c r="A213" s="15" t="s">
        <v>255</v>
      </c>
      <c r="B213" s="16" t="n">
        <v>45544</v>
      </c>
      <c r="C213" s="17" t="n">
        <f aca="false">YEAR(B213)</f>
        <v>2024</v>
      </c>
      <c r="D213" s="17" t="n">
        <f aca="false">MONTH(B213)</f>
        <v>9</v>
      </c>
      <c r="E213" s="15" t="s">
        <v>27</v>
      </c>
      <c r="F213" s="15" t="s">
        <v>28</v>
      </c>
      <c r="G213" s="15" t="s">
        <v>43</v>
      </c>
      <c r="H213" s="15" t="s">
        <v>40</v>
      </c>
      <c r="I213" s="15" t="n">
        <v>2</v>
      </c>
      <c r="J213" s="18" t="n">
        <v>100</v>
      </c>
      <c r="K213" s="18" t="n">
        <v>88</v>
      </c>
      <c r="L213" s="19" t="n">
        <f aca="false">I213*J213</f>
        <v>200</v>
      </c>
      <c r="M213" s="19" t="n">
        <f aca="false">L213-I213*K213</f>
        <v>24</v>
      </c>
    </row>
    <row r="214" customFormat="false" ht="15" hidden="false" customHeight="false" outlineLevel="0" collapsed="false">
      <c r="A214" s="15" t="s">
        <v>256</v>
      </c>
      <c r="B214" s="16" t="n">
        <v>45980</v>
      </c>
      <c r="C214" s="17" t="n">
        <f aca="false">YEAR(B214)</f>
        <v>2025</v>
      </c>
      <c r="D214" s="17" t="n">
        <f aca="false">MONTH(B214)</f>
        <v>11</v>
      </c>
      <c r="E214" s="15" t="s">
        <v>62</v>
      </c>
      <c r="F214" s="15" t="s">
        <v>34</v>
      </c>
      <c r="G214" s="15" t="s">
        <v>39</v>
      </c>
      <c r="H214" s="15" t="s">
        <v>40</v>
      </c>
      <c r="I214" s="15" t="n">
        <v>2</v>
      </c>
      <c r="J214" s="18" t="n">
        <v>4499</v>
      </c>
      <c r="K214" s="18" t="n">
        <v>3400</v>
      </c>
      <c r="L214" s="19" t="n">
        <f aca="false">I214*J214</f>
        <v>8998</v>
      </c>
      <c r="M214" s="19" t="n">
        <f aca="false">L214-I214*K214</f>
        <v>2198</v>
      </c>
    </row>
    <row r="215" customFormat="false" ht="15" hidden="false" customHeight="false" outlineLevel="0" collapsed="false">
      <c r="A215" s="15" t="s">
        <v>257</v>
      </c>
      <c r="B215" s="16" t="n">
        <v>45855</v>
      </c>
      <c r="C215" s="17" t="n">
        <f aca="false">YEAR(B215)</f>
        <v>2025</v>
      </c>
      <c r="D215" s="17" t="n">
        <f aca="false">MONTH(B215)</f>
        <v>7</v>
      </c>
      <c r="E215" s="15" t="s">
        <v>27</v>
      </c>
      <c r="F215" s="15" t="s">
        <v>28</v>
      </c>
      <c r="G215" s="15" t="s">
        <v>29</v>
      </c>
      <c r="H215" s="15" t="s">
        <v>30</v>
      </c>
      <c r="I215" s="15" t="n">
        <v>3</v>
      </c>
      <c r="J215" s="18" t="n">
        <v>100</v>
      </c>
      <c r="K215" s="18" t="n">
        <v>88</v>
      </c>
      <c r="L215" s="19" t="n">
        <f aca="false">I215*J215</f>
        <v>300</v>
      </c>
      <c r="M215" s="19" t="n">
        <f aca="false">L215-I215*K215</f>
        <v>36</v>
      </c>
    </row>
    <row r="216" customFormat="false" ht="15" hidden="false" customHeight="false" outlineLevel="0" collapsed="false">
      <c r="A216" s="15" t="s">
        <v>258</v>
      </c>
      <c r="B216" s="16" t="n">
        <v>45547</v>
      </c>
      <c r="C216" s="17" t="n">
        <f aca="false">YEAR(B216)</f>
        <v>2024</v>
      </c>
      <c r="D216" s="17" t="n">
        <f aca="false">MONTH(B216)</f>
        <v>9</v>
      </c>
      <c r="E216" s="15" t="s">
        <v>37</v>
      </c>
      <c r="F216" s="15" t="s">
        <v>38</v>
      </c>
      <c r="G216" s="15" t="s">
        <v>29</v>
      </c>
      <c r="H216" s="15" t="s">
        <v>40</v>
      </c>
      <c r="I216" s="15" t="n">
        <v>3</v>
      </c>
      <c r="J216" s="18" t="n">
        <v>449</v>
      </c>
      <c r="K216" s="18" t="n">
        <v>260</v>
      </c>
      <c r="L216" s="19" t="n">
        <f aca="false">I216*J216</f>
        <v>1347</v>
      </c>
      <c r="M216" s="19" t="n">
        <f aca="false">L216-I216*K216</f>
        <v>567</v>
      </c>
    </row>
    <row r="217" customFormat="false" ht="15" hidden="false" customHeight="false" outlineLevel="0" collapsed="false">
      <c r="A217" s="15" t="s">
        <v>259</v>
      </c>
      <c r="B217" s="16" t="n">
        <v>45315</v>
      </c>
      <c r="C217" s="17" t="n">
        <f aca="false">YEAR(B217)</f>
        <v>2024</v>
      </c>
      <c r="D217" s="17" t="n">
        <f aca="false">MONTH(B217)</f>
        <v>1</v>
      </c>
      <c r="E217" s="15" t="s">
        <v>62</v>
      </c>
      <c r="F217" s="15" t="s">
        <v>34</v>
      </c>
      <c r="G217" s="15" t="s">
        <v>29</v>
      </c>
      <c r="H217" s="15" t="s">
        <v>40</v>
      </c>
      <c r="I217" s="15" t="n">
        <v>2</v>
      </c>
      <c r="J217" s="18" t="n">
        <v>4499</v>
      </c>
      <c r="K217" s="18" t="n">
        <v>3400</v>
      </c>
      <c r="L217" s="19" t="n">
        <f aca="false">I217*J217</f>
        <v>8998</v>
      </c>
      <c r="M217" s="19" t="n">
        <f aca="false">L217-I217*K217</f>
        <v>2198</v>
      </c>
    </row>
    <row r="218" customFormat="false" ht="15" hidden="false" customHeight="false" outlineLevel="0" collapsed="false">
      <c r="A218" s="15" t="s">
        <v>260</v>
      </c>
      <c r="B218" s="16" t="n">
        <v>45925</v>
      </c>
      <c r="C218" s="17" t="n">
        <f aca="false">YEAR(B218)</f>
        <v>2025</v>
      </c>
      <c r="D218" s="17" t="n">
        <f aca="false">MONTH(B218)</f>
        <v>9</v>
      </c>
      <c r="E218" s="15" t="s">
        <v>48</v>
      </c>
      <c r="F218" s="15" t="s">
        <v>28</v>
      </c>
      <c r="G218" s="15" t="s">
        <v>35</v>
      </c>
      <c r="H218" s="15" t="s">
        <v>50</v>
      </c>
      <c r="I218" s="15" t="n">
        <v>4</v>
      </c>
      <c r="J218" s="18" t="n">
        <v>149</v>
      </c>
      <c r="K218" s="18" t="n">
        <v>60</v>
      </c>
      <c r="L218" s="19" t="n">
        <f aca="false">I218*J218</f>
        <v>596</v>
      </c>
      <c r="M218" s="19" t="n">
        <f aca="false">L218-I218*K218</f>
        <v>356</v>
      </c>
    </row>
    <row r="219" customFormat="false" ht="15" hidden="false" customHeight="false" outlineLevel="0" collapsed="false">
      <c r="A219" s="15" t="s">
        <v>261</v>
      </c>
      <c r="B219" s="16" t="n">
        <v>45701</v>
      </c>
      <c r="C219" s="17" t="n">
        <f aca="false">YEAR(B219)</f>
        <v>2025</v>
      </c>
      <c r="D219" s="17" t="n">
        <f aca="false">MONTH(B219)</f>
        <v>2</v>
      </c>
      <c r="E219" s="15" t="s">
        <v>33</v>
      </c>
      <c r="F219" s="15" t="s">
        <v>34</v>
      </c>
      <c r="G219" s="15" t="s">
        <v>55</v>
      </c>
      <c r="H219" s="15" t="s">
        <v>30</v>
      </c>
      <c r="I219" s="15" t="n">
        <v>1</v>
      </c>
      <c r="J219" s="18" t="n">
        <v>2799</v>
      </c>
      <c r="K219" s="18" t="n">
        <v>2100</v>
      </c>
      <c r="L219" s="19" t="n">
        <f aca="false">I219*J219</f>
        <v>2799</v>
      </c>
      <c r="M219" s="19" t="n">
        <f aca="false">L219-I219*K219</f>
        <v>699</v>
      </c>
    </row>
    <row r="220" customFormat="false" ht="15" hidden="false" customHeight="false" outlineLevel="0" collapsed="false">
      <c r="A220" s="15" t="s">
        <v>262</v>
      </c>
      <c r="B220" s="16" t="n">
        <v>45744</v>
      </c>
      <c r="C220" s="17" t="n">
        <f aca="false">YEAR(B220)</f>
        <v>2025</v>
      </c>
      <c r="D220" s="17" t="n">
        <f aca="false">MONTH(B220)</f>
        <v>3</v>
      </c>
      <c r="E220" s="15" t="s">
        <v>57</v>
      </c>
      <c r="F220" s="15" t="s">
        <v>38</v>
      </c>
      <c r="G220" s="15" t="s">
        <v>43</v>
      </c>
      <c r="H220" s="15" t="s">
        <v>30</v>
      </c>
      <c r="I220" s="15" t="n">
        <v>1</v>
      </c>
      <c r="J220" s="18" t="n">
        <v>699</v>
      </c>
      <c r="K220" s="18" t="n">
        <v>420</v>
      </c>
      <c r="L220" s="19" t="n">
        <f aca="false">I220*J220</f>
        <v>699</v>
      </c>
      <c r="M220" s="19" t="n">
        <f aca="false">L220-I220*K220</f>
        <v>279</v>
      </c>
    </row>
    <row r="221" customFormat="false" ht="15" hidden="false" customHeight="false" outlineLevel="0" collapsed="false">
      <c r="A221" s="15" t="s">
        <v>263</v>
      </c>
      <c r="B221" s="16" t="n">
        <v>45613</v>
      </c>
      <c r="C221" s="17" t="n">
        <f aca="false">YEAR(B221)</f>
        <v>2024</v>
      </c>
      <c r="D221" s="17" t="n">
        <f aca="false">MONTH(B221)</f>
        <v>11</v>
      </c>
      <c r="E221" s="15" t="s">
        <v>48</v>
      </c>
      <c r="F221" s="15" t="s">
        <v>28</v>
      </c>
      <c r="G221" s="15" t="s">
        <v>43</v>
      </c>
      <c r="H221" s="15" t="s">
        <v>40</v>
      </c>
      <c r="I221" s="15" t="n">
        <v>1</v>
      </c>
      <c r="J221" s="18" t="n">
        <v>149</v>
      </c>
      <c r="K221" s="18" t="n">
        <v>60</v>
      </c>
      <c r="L221" s="19" t="n">
        <f aca="false">I221*J221</f>
        <v>149</v>
      </c>
      <c r="M221" s="19" t="n">
        <f aca="false">L221-I221*K221</f>
        <v>89</v>
      </c>
    </row>
    <row r="222" customFormat="false" ht="15" hidden="false" customHeight="false" outlineLevel="0" collapsed="false">
      <c r="A222" s="15" t="s">
        <v>264</v>
      </c>
      <c r="B222" s="16" t="n">
        <v>45678</v>
      </c>
      <c r="C222" s="17" t="n">
        <f aca="false">YEAR(B222)</f>
        <v>2025</v>
      </c>
      <c r="D222" s="17" t="n">
        <f aca="false">MONTH(B222)</f>
        <v>1</v>
      </c>
      <c r="E222" s="15" t="s">
        <v>48</v>
      </c>
      <c r="F222" s="15" t="s">
        <v>28</v>
      </c>
      <c r="G222" s="15" t="s">
        <v>43</v>
      </c>
      <c r="H222" s="15" t="s">
        <v>30</v>
      </c>
      <c r="I222" s="15" t="n">
        <v>2</v>
      </c>
      <c r="J222" s="18" t="n">
        <v>149</v>
      </c>
      <c r="K222" s="18" t="n">
        <v>60</v>
      </c>
      <c r="L222" s="19" t="n">
        <f aca="false">I222*J222</f>
        <v>298</v>
      </c>
      <c r="M222" s="19" t="n">
        <f aca="false">L222-I222*K222</f>
        <v>178</v>
      </c>
    </row>
    <row r="223" customFormat="false" ht="15" hidden="false" customHeight="false" outlineLevel="0" collapsed="false">
      <c r="A223" s="15" t="s">
        <v>265</v>
      </c>
      <c r="B223" s="16" t="n">
        <v>45920</v>
      </c>
      <c r="C223" s="17" t="n">
        <f aca="false">YEAR(B223)</f>
        <v>2025</v>
      </c>
      <c r="D223" s="17" t="n">
        <f aca="false">MONTH(B223)</f>
        <v>9</v>
      </c>
      <c r="E223" s="15" t="s">
        <v>48</v>
      </c>
      <c r="F223" s="15" t="s">
        <v>28</v>
      </c>
      <c r="G223" s="15" t="s">
        <v>39</v>
      </c>
      <c r="H223" s="15" t="s">
        <v>50</v>
      </c>
      <c r="I223" s="15" t="n">
        <v>1</v>
      </c>
      <c r="J223" s="18" t="n">
        <v>149</v>
      </c>
      <c r="K223" s="18" t="n">
        <v>60</v>
      </c>
      <c r="L223" s="19" t="n">
        <f aca="false">I223*J223</f>
        <v>149</v>
      </c>
      <c r="M223" s="19" t="n">
        <f aca="false">L223-I223*K223</f>
        <v>89</v>
      </c>
    </row>
    <row r="224" customFormat="false" ht="15" hidden="false" customHeight="false" outlineLevel="0" collapsed="false">
      <c r="A224" s="15" t="s">
        <v>266</v>
      </c>
      <c r="B224" s="16" t="n">
        <v>45795</v>
      </c>
      <c r="C224" s="17" t="n">
        <f aca="false">YEAR(B224)</f>
        <v>2025</v>
      </c>
      <c r="D224" s="17" t="n">
        <f aca="false">MONTH(B224)</f>
        <v>5</v>
      </c>
      <c r="E224" s="15" t="s">
        <v>37</v>
      </c>
      <c r="F224" s="15" t="s">
        <v>38</v>
      </c>
      <c r="G224" s="15" t="s">
        <v>29</v>
      </c>
      <c r="H224" s="15" t="s">
        <v>50</v>
      </c>
      <c r="I224" s="15" t="n">
        <v>2</v>
      </c>
      <c r="J224" s="18" t="n">
        <v>449</v>
      </c>
      <c r="K224" s="18" t="n">
        <v>260</v>
      </c>
      <c r="L224" s="19" t="n">
        <f aca="false">I224*J224</f>
        <v>898</v>
      </c>
      <c r="M224" s="19" t="n">
        <f aca="false">L224-I224*K224</f>
        <v>378</v>
      </c>
    </row>
    <row r="225" customFormat="false" ht="15" hidden="false" customHeight="false" outlineLevel="0" collapsed="false">
      <c r="A225" s="15" t="s">
        <v>267</v>
      </c>
      <c r="B225" s="16" t="n">
        <v>45518</v>
      </c>
      <c r="C225" s="17" t="n">
        <f aca="false">YEAR(B225)</f>
        <v>2024</v>
      </c>
      <c r="D225" s="17" t="n">
        <f aca="false">MONTH(B225)</f>
        <v>8</v>
      </c>
      <c r="E225" s="15" t="s">
        <v>62</v>
      </c>
      <c r="F225" s="15" t="s">
        <v>34</v>
      </c>
      <c r="G225" s="15" t="s">
        <v>29</v>
      </c>
      <c r="H225" s="15" t="s">
        <v>30</v>
      </c>
      <c r="I225" s="15" t="n">
        <v>2</v>
      </c>
      <c r="J225" s="18" t="n">
        <v>4499</v>
      </c>
      <c r="K225" s="18" t="n">
        <v>3400</v>
      </c>
      <c r="L225" s="19" t="n">
        <f aca="false">I225*J225</f>
        <v>8998</v>
      </c>
      <c r="M225" s="19" t="n">
        <f aca="false">L225-I225*K225</f>
        <v>2198</v>
      </c>
    </row>
    <row r="226" customFormat="false" ht="15" hidden="false" customHeight="false" outlineLevel="0" collapsed="false">
      <c r="A226" s="15" t="s">
        <v>268</v>
      </c>
      <c r="B226" s="16" t="n">
        <v>45623</v>
      </c>
      <c r="C226" s="17" t="n">
        <f aca="false">YEAR(B226)</f>
        <v>2024</v>
      </c>
      <c r="D226" s="17" t="n">
        <f aca="false">MONTH(B226)</f>
        <v>11</v>
      </c>
      <c r="E226" s="15" t="s">
        <v>27</v>
      </c>
      <c r="F226" s="15" t="s">
        <v>28</v>
      </c>
      <c r="G226" s="15" t="s">
        <v>35</v>
      </c>
      <c r="H226" s="15" t="s">
        <v>40</v>
      </c>
      <c r="I226" s="15" t="n">
        <v>3</v>
      </c>
      <c r="J226" s="18" t="n">
        <v>100</v>
      </c>
      <c r="K226" s="18" t="n">
        <v>88</v>
      </c>
      <c r="L226" s="19" t="n">
        <f aca="false">I226*J226</f>
        <v>300</v>
      </c>
      <c r="M226" s="19" t="n">
        <f aca="false">L226-I226*K226</f>
        <v>36</v>
      </c>
    </row>
    <row r="227" customFormat="false" ht="15" hidden="false" customHeight="false" outlineLevel="0" collapsed="false">
      <c r="A227" s="15" t="s">
        <v>269</v>
      </c>
      <c r="B227" s="16" t="n">
        <v>45552</v>
      </c>
      <c r="C227" s="17" t="n">
        <f aca="false">YEAR(B227)</f>
        <v>2024</v>
      </c>
      <c r="D227" s="17" t="n">
        <f aca="false">MONTH(B227)</f>
        <v>9</v>
      </c>
      <c r="E227" s="15" t="s">
        <v>57</v>
      </c>
      <c r="F227" s="15" t="s">
        <v>38</v>
      </c>
      <c r="G227" s="15" t="s">
        <v>39</v>
      </c>
      <c r="H227" s="15" t="s">
        <v>30</v>
      </c>
      <c r="I227" s="15" t="n">
        <v>4</v>
      </c>
      <c r="J227" s="18" t="n">
        <v>699</v>
      </c>
      <c r="K227" s="18" t="n">
        <v>420</v>
      </c>
      <c r="L227" s="19" t="n">
        <f aca="false">I227*J227</f>
        <v>2796</v>
      </c>
      <c r="M227" s="19" t="n">
        <f aca="false">L227-I227*K227</f>
        <v>1116</v>
      </c>
    </row>
    <row r="228" customFormat="false" ht="15" hidden="false" customHeight="false" outlineLevel="0" collapsed="false">
      <c r="A228" s="15" t="s">
        <v>270</v>
      </c>
      <c r="B228" s="16" t="n">
        <v>45810</v>
      </c>
      <c r="C228" s="17" t="n">
        <f aca="false">YEAR(B228)</f>
        <v>2025</v>
      </c>
      <c r="D228" s="17" t="n">
        <f aca="false">MONTH(B228)</f>
        <v>6</v>
      </c>
      <c r="E228" s="15" t="s">
        <v>37</v>
      </c>
      <c r="F228" s="15" t="s">
        <v>38</v>
      </c>
      <c r="G228" s="15" t="s">
        <v>43</v>
      </c>
      <c r="H228" s="15" t="s">
        <v>30</v>
      </c>
      <c r="I228" s="15" t="n">
        <v>3</v>
      </c>
      <c r="J228" s="18" t="n">
        <v>449</v>
      </c>
      <c r="K228" s="18" t="n">
        <v>260</v>
      </c>
      <c r="L228" s="19" t="n">
        <f aca="false">I228*J228</f>
        <v>1347</v>
      </c>
      <c r="M228" s="19" t="n">
        <f aca="false">L228-I228*K228</f>
        <v>567</v>
      </c>
    </row>
    <row r="229" customFormat="false" ht="15" hidden="false" customHeight="false" outlineLevel="0" collapsed="false">
      <c r="A229" s="15" t="s">
        <v>271</v>
      </c>
      <c r="B229" s="16" t="n">
        <v>45457</v>
      </c>
      <c r="C229" s="17" t="n">
        <f aca="false">YEAR(B229)</f>
        <v>2024</v>
      </c>
      <c r="D229" s="17" t="n">
        <f aca="false">MONTH(B229)</f>
        <v>6</v>
      </c>
      <c r="E229" s="15" t="s">
        <v>48</v>
      </c>
      <c r="F229" s="15" t="s">
        <v>28</v>
      </c>
      <c r="G229" s="15" t="s">
        <v>29</v>
      </c>
      <c r="H229" s="15" t="s">
        <v>50</v>
      </c>
      <c r="I229" s="15" t="n">
        <v>3</v>
      </c>
      <c r="J229" s="18" t="n">
        <v>149</v>
      </c>
      <c r="K229" s="18" t="n">
        <v>60</v>
      </c>
      <c r="L229" s="19" t="n">
        <f aca="false">I229*J229</f>
        <v>447</v>
      </c>
      <c r="M229" s="19" t="n">
        <f aca="false">L229-I229*K229</f>
        <v>267</v>
      </c>
    </row>
    <row r="230" customFormat="false" ht="15" hidden="false" customHeight="false" outlineLevel="0" collapsed="false">
      <c r="A230" s="15" t="s">
        <v>272</v>
      </c>
      <c r="B230" s="16" t="n">
        <v>45464</v>
      </c>
      <c r="C230" s="17" t="n">
        <f aca="false">YEAR(B230)</f>
        <v>2024</v>
      </c>
      <c r="D230" s="17" t="n">
        <f aca="false">MONTH(B230)</f>
        <v>6</v>
      </c>
      <c r="E230" s="15" t="s">
        <v>48</v>
      </c>
      <c r="F230" s="15" t="s">
        <v>28</v>
      </c>
      <c r="G230" s="15" t="s">
        <v>39</v>
      </c>
      <c r="H230" s="15" t="s">
        <v>40</v>
      </c>
      <c r="I230" s="15" t="n">
        <v>3</v>
      </c>
      <c r="J230" s="18" t="n">
        <v>149</v>
      </c>
      <c r="K230" s="18" t="n">
        <v>60</v>
      </c>
      <c r="L230" s="19" t="n">
        <f aca="false">I230*J230</f>
        <v>447</v>
      </c>
      <c r="M230" s="19" t="n">
        <f aca="false">L230-I230*K230</f>
        <v>267</v>
      </c>
    </row>
    <row r="231" customFormat="false" ht="15" hidden="false" customHeight="false" outlineLevel="0" collapsed="false">
      <c r="A231" s="15" t="s">
        <v>273</v>
      </c>
      <c r="B231" s="16" t="n">
        <v>45943</v>
      </c>
      <c r="C231" s="17" t="n">
        <f aca="false">YEAR(B231)</f>
        <v>2025</v>
      </c>
      <c r="D231" s="17" t="n">
        <f aca="false">MONTH(B231)</f>
        <v>10</v>
      </c>
      <c r="E231" s="15" t="s">
        <v>27</v>
      </c>
      <c r="F231" s="15" t="s">
        <v>28</v>
      </c>
      <c r="G231" s="15" t="s">
        <v>29</v>
      </c>
      <c r="H231" s="15" t="s">
        <v>40</v>
      </c>
      <c r="I231" s="15" t="n">
        <v>4</v>
      </c>
      <c r="J231" s="18" t="n">
        <v>100</v>
      </c>
      <c r="K231" s="18" t="n">
        <v>88</v>
      </c>
      <c r="L231" s="19" t="n">
        <f aca="false">I231*J231</f>
        <v>400</v>
      </c>
      <c r="M231" s="19" t="n">
        <f aca="false">L231-I231*K231</f>
        <v>48</v>
      </c>
    </row>
    <row r="232" customFormat="false" ht="15" hidden="false" customHeight="false" outlineLevel="0" collapsed="false">
      <c r="A232" s="15" t="s">
        <v>274</v>
      </c>
      <c r="B232" s="16" t="n">
        <v>45399</v>
      </c>
      <c r="C232" s="17" t="n">
        <f aca="false">YEAR(B232)</f>
        <v>2024</v>
      </c>
      <c r="D232" s="17" t="n">
        <f aca="false">MONTH(B232)</f>
        <v>4</v>
      </c>
      <c r="E232" s="15" t="s">
        <v>37</v>
      </c>
      <c r="F232" s="15" t="s">
        <v>38</v>
      </c>
      <c r="G232" s="15" t="s">
        <v>29</v>
      </c>
      <c r="H232" s="15" t="s">
        <v>30</v>
      </c>
      <c r="I232" s="15" t="n">
        <v>4</v>
      </c>
      <c r="J232" s="18" t="n">
        <v>449</v>
      </c>
      <c r="K232" s="18" t="n">
        <v>260</v>
      </c>
      <c r="L232" s="19" t="n">
        <f aca="false">I232*J232</f>
        <v>1796</v>
      </c>
      <c r="M232" s="19" t="n">
        <f aca="false">L232-I232*K232</f>
        <v>756</v>
      </c>
    </row>
    <row r="233" customFormat="false" ht="15" hidden="false" customHeight="false" outlineLevel="0" collapsed="false">
      <c r="A233" s="15" t="s">
        <v>275</v>
      </c>
      <c r="B233" s="16" t="n">
        <v>45676</v>
      </c>
      <c r="C233" s="17" t="n">
        <f aca="false">YEAR(B233)</f>
        <v>2025</v>
      </c>
      <c r="D233" s="17" t="n">
        <f aca="false">MONTH(B233)</f>
        <v>1</v>
      </c>
      <c r="E233" s="15" t="s">
        <v>27</v>
      </c>
      <c r="F233" s="15" t="s">
        <v>28</v>
      </c>
      <c r="G233" s="15" t="s">
        <v>55</v>
      </c>
      <c r="H233" s="15" t="s">
        <v>50</v>
      </c>
      <c r="I233" s="15" t="n">
        <v>2</v>
      </c>
      <c r="J233" s="18" t="n">
        <v>100</v>
      </c>
      <c r="K233" s="18" t="n">
        <v>88</v>
      </c>
      <c r="L233" s="19" t="n">
        <f aca="false">I233*J233</f>
        <v>200</v>
      </c>
      <c r="M233" s="19" t="n">
        <f aca="false">L233-I233*K233</f>
        <v>24</v>
      </c>
    </row>
    <row r="234" customFormat="false" ht="15" hidden="false" customHeight="false" outlineLevel="0" collapsed="false">
      <c r="A234" s="15" t="s">
        <v>276</v>
      </c>
      <c r="B234" s="16" t="n">
        <v>45744</v>
      </c>
      <c r="C234" s="17" t="n">
        <f aca="false">YEAR(B234)</f>
        <v>2025</v>
      </c>
      <c r="D234" s="17" t="n">
        <f aca="false">MONTH(B234)</f>
        <v>3</v>
      </c>
      <c r="E234" s="15" t="s">
        <v>37</v>
      </c>
      <c r="F234" s="15" t="s">
        <v>38</v>
      </c>
      <c r="G234" s="15" t="s">
        <v>55</v>
      </c>
      <c r="H234" s="15" t="s">
        <v>40</v>
      </c>
      <c r="I234" s="15" t="n">
        <v>1</v>
      </c>
      <c r="J234" s="18" t="n">
        <v>449</v>
      </c>
      <c r="K234" s="18" t="n">
        <v>260</v>
      </c>
      <c r="L234" s="19" t="n">
        <f aca="false">I234*J234</f>
        <v>449</v>
      </c>
      <c r="M234" s="19" t="n">
        <f aca="false">L234-I234*K234</f>
        <v>189</v>
      </c>
    </row>
    <row r="235" customFormat="false" ht="15" hidden="false" customHeight="false" outlineLevel="0" collapsed="false">
      <c r="A235" s="15" t="s">
        <v>277</v>
      </c>
      <c r="B235" s="16" t="n">
        <v>45609</v>
      </c>
      <c r="C235" s="17" t="n">
        <f aca="false">YEAR(B235)</f>
        <v>2024</v>
      </c>
      <c r="D235" s="17" t="n">
        <f aca="false">MONTH(B235)</f>
        <v>11</v>
      </c>
      <c r="E235" s="15" t="s">
        <v>48</v>
      </c>
      <c r="F235" s="15" t="s">
        <v>28</v>
      </c>
      <c r="G235" s="15" t="s">
        <v>29</v>
      </c>
      <c r="H235" s="15" t="s">
        <v>50</v>
      </c>
      <c r="I235" s="15" t="n">
        <v>3</v>
      </c>
      <c r="J235" s="18" t="n">
        <v>149</v>
      </c>
      <c r="K235" s="18" t="n">
        <v>60</v>
      </c>
      <c r="L235" s="19" t="n">
        <f aca="false">I235*J235</f>
        <v>447</v>
      </c>
      <c r="M235" s="19" t="n">
        <f aca="false">L235-I235*K235</f>
        <v>267</v>
      </c>
    </row>
    <row r="236" customFormat="false" ht="15" hidden="false" customHeight="false" outlineLevel="0" collapsed="false">
      <c r="A236" s="15" t="s">
        <v>278</v>
      </c>
      <c r="B236" s="16" t="n">
        <v>45518</v>
      </c>
      <c r="C236" s="17" t="n">
        <f aca="false">YEAR(B236)</f>
        <v>2024</v>
      </c>
      <c r="D236" s="17" t="n">
        <f aca="false">MONTH(B236)</f>
        <v>8</v>
      </c>
      <c r="E236" s="15" t="s">
        <v>33</v>
      </c>
      <c r="F236" s="15" t="s">
        <v>34</v>
      </c>
      <c r="G236" s="15" t="s">
        <v>29</v>
      </c>
      <c r="H236" s="15" t="s">
        <v>30</v>
      </c>
      <c r="I236" s="15" t="n">
        <v>2</v>
      </c>
      <c r="J236" s="18" t="n">
        <v>2799</v>
      </c>
      <c r="K236" s="18" t="n">
        <v>2100</v>
      </c>
      <c r="L236" s="19" t="n">
        <f aca="false">I236*J236</f>
        <v>5598</v>
      </c>
      <c r="M236" s="19" t="n">
        <f aca="false">L236-I236*K236</f>
        <v>1398</v>
      </c>
    </row>
    <row r="237" customFormat="false" ht="15" hidden="false" customHeight="false" outlineLevel="0" collapsed="false">
      <c r="A237" s="15" t="s">
        <v>279</v>
      </c>
      <c r="B237" s="16" t="n">
        <v>45340</v>
      </c>
      <c r="C237" s="17" t="n">
        <f aca="false">YEAR(B237)</f>
        <v>2024</v>
      </c>
      <c r="D237" s="17" t="n">
        <f aca="false">MONTH(B237)</f>
        <v>2</v>
      </c>
      <c r="E237" s="15" t="s">
        <v>33</v>
      </c>
      <c r="F237" s="15" t="s">
        <v>34</v>
      </c>
      <c r="G237" s="15" t="s">
        <v>29</v>
      </c>
      <c r="H237" s="15" t="s">
        <v>30</v>
      </c>
      <c r="I237" s="15" t="n">
        <v>1</v>
      </c>
      <c r="J237" s="18" t="n">
        <v>2799</v>
      </c>
      <c r="K237" s="18" t="n">
        <v>2100</v>
      </c>
      <c r="L237" s="19" t="n">
        <f aca="false">I237*J237</f>
        <v>2799</v>
      </c>
      <c r="M237" s="19" t="n">
        <f aca="false">L237-I237*K237</f>
        <v>699</v>
      </c>
    </row>
    <row r="238" customFormat="false" ht="15" hidden="false" customHeight="false" outlineLevel="0" collapsed="false">
      <c r="A238" s="15" t="s">
        <v>280</v>
      </c>
      <c r="B238" s="16" t="n">
        <v>45347</v>
      </c>
      <c r="C238" s="17" t="n">
        <f aca="false">YEAR(B238)</f>
        <v>2024</v>
      </c>
      <c r="D238" s="17" t="n">
        <f aca="false">MONTH(B238)</f>
        <v>2</v>
      </c>
      <c r="E238" s="15" t="s">
        <v>62</v>
      </c>
      <c r="F238" s="15" t="s">
        <v>34</v>
      </c>
      <c r="G238" s="15" t="s">
        <v>55</v>
      </c>
      <c r="H238" s="15" t="s">
        <v>40</v>
      </c>
      <c r="I238" s="15" t="n">
        <v>2</v>
      </c>
      <c r="J238" s="18" t="n">
        <v>4499</v>
      </c>
      <c r="K238" s="18" t="n">
        <v>3400</v>
      </c>
      <c r="L238" s="19" t="n">
        <f aca="false">I238*J238</f>
        <v>8998</v>
      </c>
      <c r="M238" s="19" t="n">
        <f aca="false">L238-I238*K238</f>
        <v>2198</v>
      </c>
    </row>
    <row r="239" customFormat="false" ht="15" hidden="false" customHeight="false" outlineLevel="0" collapsed="false">
      <c r="A239" s="15" t="s">
        <v>281</v>
      </c>
      <c r="B239" s="16" t="n">
        <v>45838</v>
      </c>
      <c r="C239" s="17" t="n">
        <f aca="false">YEAR(B239)</f>
        <v>2025</v>
      </c>
      <c r="D239" s="17" t="n">
        <f aca="false">MONTH(B239)</f>
        <v>6</v>
      </c>
      <c r="E239" s="15" t="s">
        <v>37</v>
      </c>
      <c r="F239" s="15" t="s">
        <v>38</v>
      </c>
      <c r="G239" s="15" t="s">
        <v>29</v>
      </c>
      <c r="H239" s="15" t="s">
        <v>30</v>
      </c>
      <c r="I239" s="15" t="n">
        <v>3</v>
      </c>
      <c r="J239" s="18" t="n">
        <v>449</v>
      </c>
      <c r="K239" s="18" t="n">
        <v>260</v>
      </c>
      <c r="L239" s="19" t="n">
        <f aca="false">I239*J239</f>
        <v>1347</v>
      </c>
      <c r="M239" s="19" t="n">
        <f aca="false">L239-I239*K239</f>
        <v>567</v>
      </c>
    </row>
    <row r="240" customFormat="false" ht="15" hidden="false" customHeight="false" outlineLevel="0" collapsed="false">
      <c r="A240" s="15" t="s">
        <v>282</v>
      </c>
      <c r="B240" s="16" t="n">
        <v>45930</v>
      </c>
      <c r="C240" s="17" t="n">
        <f aca="false">YEAR(B240)</f>
        <v>2025</v>
      </c>
      <c r="D240" s="17" t="n">
        <f aca="false">MONTH(B240)</f>
        <v>9</v>
      </c>
      <c r="E240" s="15" t="s">
        <v>27</v>
      </c>
      <c r="F240" s="15" t="s">
        <v>28</v>
      </c>
      <c r="G240" s="15" t="s">
        <v>39</v>
      </c>
      <c r="H240" s="15" t="s">
        <v>50</v>
      </c>
      <c r="I240" s="15" t="n">
        <v>2</v>
      </c>
      <c r="J240" s="18" t="n">
        <v>100</v>
      </c>
      <c r="K240" s="18" t="n">
        <v>88</v>
      </c>
      <c r="L240" s="19" t="n">
        <f aca="false">I240*J240</f>
        <v>200</v>
      </c>
      <c r="M240" s="19" t="n">
        <f aca="false">L240-I240*K240</f>
        <v>24</v>
      </c>
    </row>
    <row r="241" customFormat="false" ht="15" hidden="false" customHeight="false" outlineLevel="0" collapsed="false">
      <c r="A241" s="15" t="s">
        <v>283</v>
      </c>
      <c r="B241" s="16" t="n">
        <v>45541</v>
      </c>
      <c r="C241" s="17" t="n">
        <f aca="false">YEAR(B241)</f>
        <v>2024</v>
      </c>
      <c r="D241" s="17" t="n">
        <f aca="false">MONTH(B241)</f>
        <v>9</v>
      </c>
      <c r="E241" s="15" t="s">
        <v>48</v>
      </c>
      <c r="F241" s="15" t="s">
        <v>28</v>
      </c>
      <c r="G241" s="15" t="s">
        <v>39</v>
      </c>
      <c r="H241" s="15" t="s">
        <v>40</v>
      </c>
      <c r="I241" s="15" t="n">
        <v>4</v>
      </c>
      <c r="J241" s="18" t="n">
        <v>149</v>
      </c>
      <c r="K241" s="18" t="n">
        <v>60</v>
      </c>
      <c r="L241" s="19" t="n">
        <f aca="false">I241*J241</f>
        <v>596</v>
      </c>
      <c r="M241" s="19" t="n">
        <f aca="false">L241-I241*K241</f>
        <v>356</v>
      </c>
    </row>
    <row r="242" customFormat="false" ht="15" hidden="false" customHeight="false" outlineLevel="0" collapsed="false">
      <c r="A242" s="15" t="s">
        <v>284</v>
      </c>
      <c r="B242" s="16" t="n">
        <v>45973</v>
      </c>
      <c r="C242" s="17" t="n">
        <f aca="false">YEAR(B242)</f>
        <v>2025</v>
      </c>
      <c r="D242" s="17" t="n">
        <f aca="false">MONTH(B242)</f>
        <v>11</v>
      </c>
      <c r="E242" s="15" t="s">
        <v>48</v>
      </c>
      <c r="F242" s="15" t="s">
        <v>28</v>
      </c>
      <c r="G242" s="15" t="s">
        <v>35</v>
      </c>
      <c r="H242" s="15" t="s">
        <v>50</v>
      </c>
      <c r="I242" s="15" t="n">
        <v>4</v>
      </c>
      <c r="J242" s="18" t="n">
        <v>149</v>
      </c>
      <c r="K242" s="18" t="n">
        <v>60</v>
      </c>
      <c r="L242" s="19" t="n">
        <f aca="false">I242*J242</f>
        <v>596</v>
      </c>
      <c r="M242" s="19" t="n">
        <f aca="false">L242-I242*K242</f>
        <v>356</v>
      </c>
    </row>
    <row r="243" customFormat="false" ht="15" hidden="false" customHeight="false" outlineLevel="0" collapsed="false">
      <c r="A243" s="15" t="s">
        <v>285</v>
      </c>
      <c r="B243" s="16" t="n">
        <v>45349</v>
      </c>
      <c r="C243" s="17" t="n">
        <f aca="false">YEAR(B243)</f>
        <v>2024</v>
      </c>
      <c r="D243" s="17" t="n">
        <f aca="false">MONTH(B243)</f>
        <v>2</v>
      </c>
      <c r="E243" s="15" t="s">
        <v>48</v>
      </c>
      <c r="F243" s="15" t="s">
        <v>28</v>
      </c>
      <c r="G243" s="15" t="s">
        <v>29</v>
      </c>
      <c r="H243" s="15" t="s">
        <v>40</v>
      </c>
      <c r="I243" s="15" t="n">
        <v>3</v>
      </c>
      <c r="J243" s="18" t="n">
        <v>149</v>
      </c>
      <c r="K243" s="18" t="n">
        <v>60</v>
      </c>
      <c r="L243" s="19" t="n">
        <f aca="false">I243*J243</f>
        <v>447</v>
      </c>
      <c r="M243" s="19" t="n">
        <f aca="false">L243-I243*K243</f>
        <v>267</v>
      </c>
    </row>
    <row r="244" customFormat="false" ht="15" hidden="false" customHeight="false" outlineLevel="0" collapsed="false">
      <c r="A244" s="15" t="s">
        <v>286</v>
      </c>
      <c r="B244" s="16" t="n">
        <v>45908</v>
      </c>
      <c r="C244" s="17" t="n">
        <f aca="false">YEAR(B244)</f>
        <v>2025</v>
      </c>
      <c r="D244" s="17" t="n">
        <f aca="false">MONTH(B244)</f>
        <v>9</v>
      </c>
      <c r="E244" s="15" t="s">
        <v>27</v>
      </c>
      <c r="F244" s="15" t="s">
        <v>28</v>
      </c>
      <c r="G244" s="15" t="s">
        <v>39</v>
      </c>
      <c r="H244" s="15" t="s">
        <v>50</v>
      </c>
      <c r="I244" s="15" t="n">
        <v>4</v>
      </c>
      <c r="J244" s="18" t="n">
        <v>100</v>
      </c>
      <c r="K244" s="18" t="n">
        <v>88</v>
      </c>
      <c r="L244" s="19" t="n">
        <f aca="false">I244*J244</f>
        <v>400</v>
      </c>
      <c r="M244" s="19" t="n">
        <f aca="false">L244-I244*K244</f>
        <v>48</v>
      </c>
    </row>
    <row r="245" customFormat="false" ht="15" hidden="false" customHeight="false" outlineLevel="0" collapsed="false">
      <c r="A245" s="15" t="s">
        <v>287</v>
      </c>
      <c r="B245" s="16" t="n">
        <v>45337</v>
      </c>
      <c r="C245" s="17" t="n">
        <f aca="false">YEAR(B245)</f>
        <v>2024</v>
      </c>
      <c r="D245" s="17" t="n">
        <f aca="false">MONTH(B245)</f>
        <v>2</v>
      </c>
      <c r="E245" s="15" t="s">
        <v>62</v>
      </c>
      <c r="F245" s="15" t="s">
        <v>34</v>
      </c>
      <c r="G245" s="15" t="s">
        <v>29</v>
      </c>
      <c r="H245" s="15" t="s">
        <v>30</v>
      </c>
      <c r="I245" s="15" t="n">
        <v>1</v>
      </c>
      <c r="J245" s="18" t="n">
        <v>4499</v>
      </c>
      <c r="K245" s="18" t="n">
        <v>3400</v>
      </c>
      <c r="L245" s="19" t="n">
        <f aca="false">I245*J245</f>
        <v>4499</v>
      </c>
      <c r="M245" s="19" t="n">
        <f aca="false">L245-I245*K245</f>
        <v>1099</v>
      </c>
    </row>
    <row r="246" customFormat="false" ht="15" hidden="false" customHeight="false" outlineLevel="0" collapsed="false">
      <c r="A246" s="15" t="s">
        <v>288</v>
      </c>
      <c r="B246" s="16" t="n">
        <v>45351</v>
      </c>
      <c r="C246" s="17" t="n">
        <f aca="false">YEAR(B246)</f>
        <v>2024</v>
      </c>
      <c r="D246" s="17" t="n">
        <f aca="false">MONTH(B246)</f>
        <v>2</v>
      </c>
      <c r="E246" s="15" t="s">
        <v>27</v>
      </c>
      <c r="F246" s="15" t="s">
        <v>28</v>
      </c>
      <c r="G246" s="15" t="s">
        <v>43</v>
      </c>
      <c r="H246" s="15" t="s">
        <v>40</v>
      </c>
      <c r="I246" s="15" t="n">
        <v>1</v>
      </c>
      <c r="J246" s="18" t="n">
        <v>100</v>
      </c>
      <c r="K246" s="18" t="n">
        <v>88</v>
      </c>
      <c r="L246" s="19" t="n">
        <f aca="false">I246*J246</f>
        <v>100</v>
      </c>
      <c r="M246" s="19" t="n">
        <f aca="false">L246-I246*K246</f>
        <v>12</v>
      </c>
    </row>
    <row r="247" customFormat="false" ht="15" hidden="false" customHeight="false" outlineLevel="0" collapsed="false">
      <c r="A247" s="15" t="s">
        <v>289</v>
      </c>
      <c r="B247" s="16" t="n">
        <v>45493</v>
      </c>
      <c r="C247" s="17" t="n">
        <f aca="false">YEAR(B247)</f>
        <v>2024</v>
      </c>
      <c r="D247" s="17" t="n">
        <f aca="false">MONTH(B247)</f>
        <v>7</v>
      </c>
      <c r="E247" s="15" t="s">
        <v>33</v>
      </c>
      <c r="F247" s="15" t="s">
        <v>34</v>
      </c>
      <c r="G247" s="15" t="s">
        <v>29</v>
      </c>
      <c r="H247" s="15" t="s">
        <v>40</v>
      </c>
      <c r="I247" s="15" t="n">
        <v>1</v>
      </c>
      <c r="J247" s="18" t="n">
        <v>2799</v>
      </c>
      <c r="K247" s="18" t="n">
        <v>2100</v>
      </c>
      <c r="L247" s="19" t="n">
        <f aca="false">I247*J247</f>
        <v>2799</v>
      </c>
      <c r="M247" s="19" t="n">
        <f aca="false">L247-I247*K247</f>
        <v>699</v>
      </c>
    </row>
    <row r="248" customFormat="false" ht="15" hidden="false" customHeight="false" outlineLevel="0" collapsed="false">
      <c r="A248" s="15" t="s">
        <v>290</v>
      </c>
      <c r="B248" s="16" t="n">
        <v>45955</v>
      </c>
      <c r="C248" s="17" t="n">
        <f aca="false">YEAR(B248)</f>
        <v>2025</v>
      </c>
      <c r="D248" s="17" t="n">
        <f aca="false">MONTH(B248)</f>
        <v>10</v>
      </c>
      <c r="E248" s="15" t="s">
        <v>48</v>
      </c>
      <c r="F248" s="15" t="s">
        <v>28</v>
      </c>
      <c r="G248" s="15" t="s">
        <v>29</v>
      </c>
      <c r="H248" s="15" t="s">
        <v>30</v>
      </c>
      <c r="I248" s="15" t="n">
        <v>2</v>
      </c>
      <c r="J248" s="18" t="n">
        <v>149</v>
      </c>
      <c r="K248" s="18" t="n">
        <v>60</v>
      </c>
      <c r="L248" s="19" t="n">
        <f aca="false">I248*J248</f>
        <v>298</v>
      </c>
      <c r="M248" s="19" t="n">
        <f aca="false">L248-I248*K248</f>
        <v>178</v>
      </c>
    </row>
    <row r="249" customFormat="false" ht="15" hidden="false" customHeight="false" outlineLevel="0" collapsed="false">
      <c r="A249" s="15" t="s">
        <v>291</v>
      </c>
      <c r="B249" s="16" t="n">
        <v>45932</v>
      </c>
      <c r="C249" s="17" t="n">
        <f aca="false">YEAR(B249)</f>
        <v>2025</v>
      </c>
      <c r="D249" s="17" t="n">
        <f aca="false">MONTH(B249)</f>
        <v>10</v>
      </c>
      <c r="E249" s="15" t="s">
        <v>62</v>
      </c>
      <c r="F249" s="15" t="s">
        <v>34</v>
      </c>
      <c r="G249" s="15" t="s">
        <v>29</v>
      </c>
      <c r="H249" s="15" t="s">
        <v>30</v>
      </c>
      <c r="I249" s="15" t="n">
        <v>2</v>
      </c>
      <c r="J249" s="18" t="n">
        <v>4499</v>
      </c>
      <c r="K249" s="18" t="n">
        <v>3400</v>
      </c>
      <c r="L249" s="19" t="n">
        <f aca="false">I249*J249</f>
        <v>8998</v>
      </c>
      <c r="M249" s="19" t="n">
        <f aca="false">L249-I249*K249</f>
        <v>2198</v>
      </c>
    </row>
    <row r="250" customFormat="false" ht="15" hidden="false" customHeight="false" outlineLevel="0" collapsed="false">
      <c r="A250" s="15" t="s">
        <v>292</v>
      </c>
      <c r="B250" s="16" t="n">
        <v>45739</v>
      </c>
      <c r="C250" s="17" t="n">
        <f aca="false">YEAR(B250)</f>
        <v>2025</v>
      </c>
      <c r="D250" s="17" t="n">
        <f aca="false">MONTH(B250)</f>
        <v>3</v>
      </c>
      <c r="E250" s="15" t="s">
        <v>48</v>
      </c>
      <c r="F250" s="15" t="s">
        <v>28</v>
      </c>
      <c r="G250" s="15" t="s">
        <v>39</v>
      </c>
      <c r="H250" s="15" t="s">
        <v>40</v>
      </c>
      <c r="I250" s="15" t="n">
        <v>4</v>
      </c>
      <c r="J250" s="18" t="n">
        <v>149</v>
      </c>
      <c r="K250" s="18" t="n">
        <v>60</v>
      </c>
      <c r="L250" s="19" t="n">
        <f aca="false">I250*J250</f>
        <v>596</v>
      </c>
      <c r="M250" s="19" t="n">
        <f aca="false">L250-I250*K250</f>
        <v>356</v>
      </c>
    </row>
    <row r="251" customFormat="false" ht="15" hidden="false" customHeight="false" outlineLevel="0" collapsed="false">
      <c r="A251" s="15" t="s">
        <v>293</v>
      </c>
      <c r="B251" s="16" t="n">
        <v>45471</v>
      </c>
      <c r="C251" s="17" t="n">
        <f aca="false">YEAR(B251)</f>
        <v>2024</v>
      </c>
      <c r="D251" s="17" t="n">
        <f aca="false">MONTH(B251)</f>
        <v>6</v>
      </c>
      <c r="E251" s="15" t="s">
        <v>37</v>
      </c>
      <c r="F251" s="15" t="s">
        <v>38</v>
      </c>
      <c r="G251" s="15" t="s">
        <v>39</v>
      </c>
      <c r="H251" s="15" t="s">
        <v>40</v>
      </c>
      <c r="I251" s="15" t="n">
        <v>1</v>
      </c>
      <c r="J251" s="18" t="n">
        <v>449</v>
      </c>
      <c r="K251" s="18" t="n">
        <v>260</v>
      </c>
      <c r="L251" s="19" t="n">
        <f aca="false">I251*J251</f>
        <v>449</v>
      </c>
      <c r="M251" s="19" t="n">
        <f aca="false">L251-I251*K251</f>
        <v>189</v>
      </c>
    </row>
    <row r="252" customFormat="false" ht="15" hidden="false" customHeight="false" outlineLevel="0" collapsed="false">
      <c r="A252" s="15" t="s">
        <v>294</v>
      </c>
      <c r="B252" s="16" t="n">
        <v>45418</v>
      </c>
      <c r="C252" s="17" t="n">
        <f aca="false">YEAR(B252)</f>
        <v>2024</v>
      </c>
      <c r="D252" s="17" t="n">
        <f aca="false">MONTH(B252)</f>
        <v>5</v>
      </c>
      <c r="E252" s="15" t="s">
        <v>37</v>
      </c>
      <c r="F252" s="15" t="s">
        <v>38</v>
      </c>
      <c r="G252" s="15" t="s">
        <v>29</v>
      </c>
      <c r="H252" s="15" t="s">
        <v>30</v>
      </c>
      <c r="I252" s="15" t="n">
        <v>3</v>
      </c>
      <c r="J252" s="18" t="n">
        <v>449</v>
      </c>
      <c r="K252" s="18" t="n">
        <v>260</v>
      </c>
      <c r="L252" s="19" t="n">
        <f aca="false">I252*J252</f>
        <v>1347</v>
      </c>
      <c r="M252" s="19" t="n">
        <f aca="false">L252-I252*K252</f>
        <v>567</v>
      </c>
    </row>
    <row r="253" customFormat="false" ht="15" hidden="false" customHeight="false" outlineLevel="0" collapsed="false">
      <c r="A253" s="15" t="s">
        <v>295</v>
      </c>
      <c r="B253" s="16" t="n">
        <v>45859</v>
      </c>
      <c r="C253" s="17" t="n">
        <f aca="false">YEAR(B253)</f>
        <v>2025</v>
      </c>
      <c r="D253" s="17" t="n">
        <f aca="false">MONTH(B253)</f>
        <v>7</v>
      </c>
      <c r="E253" s="15" t="s">
        <v>48</v>
      </c>
      <c r="F253" s="15" t="s">
        <v>28</v>
      </c>
      <c r="G253" s="15" t="s">
        <v>55</v>
      </c>
      <c r="H253" s="15" t="s">
        <v>50</v>
      </c>
      <c r="I253" s="15" t="n">
        <v>3</v>
      </c>
      <c r="J253" s="18" t="n">
        <v>149</v>
      </c>
      <c r="K253" s="18" t="n">
        <v>60</v>
      </c>
      <c r="L253" s="19" t="n">
        <f aca="false">I253*J253</f>
        <v>447</v>
      </c>
      <c r="M253" s="19" t="n">
        <f aca="false">L253-I253*K253</f>
        <v>267</v>
      </c>
    </row>
    <row r="254" customFormat="false" ht="15" hidden="false" customHeight="false" outlineLevel="0" collapsed="false">
      <c r="A254" s="15" t="s">
        <v>296</v>
      </c>
      <c r="B254" s="16" t="n">
        <v>45514</v>
      </c>
      <c r="C254" s="17" t="n">
        <f aca="false">YEAR(B254)</f>
        <v>2024</v>
      </c>
      <c r="D254" s="17" t="n">
        <f aca="false">MONTH(B254)</f>
        <v>8</v>
      </c>
      <c r="E254" s="15" t="s">
        <v>33</v>
      </c>
      <c r="F254" s="15" t="s">
        <v>34</v>
      </c>
      <c r="G254" s="15" t="s">
        <v>39</v>
      </c>
      <c r="H254" s="15" t="s">
        <v>50</v>
      </c>
      <c r="I254" s="15" t="n">
        <v>1</v>
      </c>
      <c r="J254" s="18" t="n">
        <v>2799</v>
      </c>
      <c r="K254" s="18" t="n">
        <v>2100</v>
      </c>
      <c r="L254" s="19" t="n">
        <f aca="false">I254*J254</f>
        <v>2799</v>
      </c>
      <c r="M254" s="19" t="n">
        <f aca="false">L254-I254*K254</f>
        <v>699</v>
      </c>
    </row>
    <row r="255" customFormat="false" ht="15" hidden="false" customHeight="false" outlineLevel="0" collapsed="false">
      <c r="A255" s="15" t="s">
        <v>297</v>
      </c>
      <c r="B255" s="16" t="n">
        <v>45499</v>
      </c>
      <c r="C255" s="17" t="n">
        <f aca="false">YEAR(B255)</f>
        <v>2024</v>
      </c>
      <c r="D255" s="17" t="n">
        <f aca="false">MONTH(B255)</f>
        <v>7</v>
      </c>
      <c r="E255" s="15" t="s">
        <v>27</v>
      </c>
      <c r="F255" s="15" t="s">
        <v>28</v>
      </c>
      <c r="G255" s="15" t="s">
        <v>39</v>
      </c>
      <c r="H255" s="15" t="s">
        <v>30</v>
      </c>
      <c r="I255" s="15" t="n">
        <v>3</v>
      </c>
      <c r="J255" s="18" t="n">
        <v>100</v>
      </c>
      <c r="K255" s="18" t="n">
        <v>88</v>
      </c>
      <c r="L255" s="19" t="n">
        <f aca="false">I255*J255</f>
        <v>300</v>
      </c>
      <c r="M255" s="19" t="n">
        <f aca="false">L255-I255*K255</f>
        <v>36</v>
      </c>
    </row>
    <row r="256" customFormat="false" ht="15" hidden="false" customHeight="false" outlineLevel="0" collapsed="false">
      <c r="A256" s="15" t="s">
        <v>298</v>
      </c>
      <c r="B256" s="16" t="n">
        <v>45907</v>
      </c>
      <c r="C256" s="17" t="n">
        <f aca="false">YEAR(B256)</f>
        <v>2025</v>
      </c>
      <c r="D256" s="17" t="n">
        <f aca="false">MONTH(B256)</f>
        <v>9</v>
      </c>
      <c r="E256" s="15" t="s">
        <v>37</v>
      </c>
      <c r="F256" s="15" t="s">
        <v>38</v>
      </c>
      <c r="G256" s="15" t="s">
        <v>29</v>
      </c>
      <c r="H256" s="15" t="s">
        <v>40</v>
      </c>
      <c r="I256" s="15" t="n">
        <v>4</v>
      </c>
      <c r="J256" s="18" t="n">
        <v>449</v>
      </c>
      <c r="K256" s="18" t="n">
        <v>260</v>
      </c>
      <c r="L256" s="19" t="n">
        <f aca="false">I256*J256</f>
        <v>1796</v>
      </c>
      <c r="M256" s="19" t="n">
        <f aca="false">L256-I256*K256</f>
        <v>756</v>
      </c>
    </row>
    <row r="257" customFormat="false" ht="15" hidden="false" customHeight="false" outlineLevel="0" collapsed="false">
      <c r="A257" s="15" t="s">
        <v>299</v>
      </c>
      <c r="B257" s="16" t="n">
        <v>45298</v>
      </c>
      <c r="C257" s="17" t="n">
        <f aca="false">YEAR(B257)</f>
        <v>2024</v>
      </c>
      <c r="D257" s="17" t="n">
        <f aca="false">MONTH(B257)</f>
        <v>1</v>
      </c>
      <c r="E257" s="15" t="s">
        <v>27</v>
      </c>
      <c r="F257" s="15" t="s">
        <v>28</v>
      </c>
      <c r="G257" s="15" t="s">
        <v>35</v>
      </c>
      <c r="H257" s="15" t="s">
        <v>30</v>
      </c>
      <c r="I257" s="15" t="n">
        <v>4</v>
      </c>
      <c r="J257" s="18" t="n">
        <v>100</v>
      </c>
      <c r="K257" s="18" t="n">
        <v>88</v>
      </c>
      <c r="L257" s="19" t="n">
        <f aca="false">I257*J257</f>
        <v>400</v>
      </c>
      <c r="M257" s="19" t="n">
        <f aca="false">L257-I257*K257</f>
        <v>48</v>
      </c>
    </row>
    <row r="258" customFormat="false" ht="15" hidden="false" customHeight="false" outlineLevel="0" collapsed="false">
      <c r="A258" s="15" t="s">
        <v>300</v>
      </c>
      <c r="B258" s="16" t="n">
        <v>45607</v>
      </c>
      <c r="C258" s="17" t="n">
        <f aca="false">YEAR(B258)</f>
        <v>2024</v>
      </c>
      <c r="D258" s="17" t="n">
        <f aca="false">MONTH(B258)</f>
        <v>11</v>
      </c>
      <c r="E258" s="15" t="s">
        <v>48</v>
      </c>
      <c r="F258" s="15" t="s">
        <v>28</v>
      </c>
      <c r="G258" s="15" t="s">
        <v>29</v>
      </c>
      <c r="H258" s="15" t="s">
        <v>30</v>
      </c>
      <c r="I258" s="15" t="n">
        <v>4</v>
      </c>
      <c r="J258" s="18" t="n">
        <v>149</v>
      </c>
      <c r="K258" s="18" t="n">
        <v>60</v>
      </c>
      <c r="L258" s="19" t="n">
        <f aca="false">I258*J258</f>
        <v>596</v>
      </c>
      <c r="M258" s="19" t="n">
        <f aca="false">L258-I258*K258</f>
        <v>356</v>
      </c>
    </row>
    <row r="259" customFormat="false" ht="15" hidden="false" customHeight="false" outlineLevel="0" collapsed="false">
      <c r="A259" s="15" t="s">
        <v>301</v>
      </c>
      <c r="B259" s="16" t="n">
        <v>45467</v>
      </c>
      <c r="C259" s="17" t="n">
        <f aca="false">YEAR(B259)</f>
        <v>2024</v>
      </c>
      <c r="D259" s="17" t="n">
        <f aca="false">MONTH(B259)</f>
        <v>6</v>
      </c>
      <c r="E259" s="15" t="s">
        <v>33</v>
      </c>
      <c r="F259" s="15" t="s">
        <v>34</v>
      </c>
      <c r="G259" s="15" t="s">
        <v>39</v>
      </c>
      <c r="H259" s="15" t="s">
        <v>40</v>
      </c>
      <c r="I259" s="15" t="n">
        <v>1</v>
      </c>
      <c r="J259" s="18" t="n">
        <v>2799</v>
      </c>
      <c r="K259" s="18" t="n">
        <v>2100</v>
      </c>
      <c r="L259" s="19" t="n">
        <f aca="false">I259*J259</f>
        <v>2799</v>
      </c>
      <c r="M259" s="19" t="n">
        <f aca="false">L259-I259*K259</f>
        <v>699</v>
      </c>
    </row>
    <row r="260" customFormat="false" ht="15" hidden="false" customHeight="false" outlineLevel="0" collapsed="false">
      <c r="A260" s="15" t="s">
        <v>302</v>
      </c>
      <c r="B260" s="16" t="n">
        <v>45457</v>
      </c>
      <c r="C260" s="17" t="n">
        <f aca="false">YEAR(B260)</f>
        <v>2024</v>
      </c>
      <c r="D260" s="17" t="n">
        <f aca="false">MONTH(B260)</f>
        <v>6</v>
      </c>
      <c r="E260" s="15" t="s">
        <v>37</v>
      </c>
      <c r="F260" s="15" t="s">
        <v>38</v>
      </c>
      <c r="G260" s="15" t="s">
        <v>29</v>
      </c>
      <c r="H260" s="15" t="s">
        <v>30</v>
      </c>
      <c r="I260" s="15" t="n">
        <v>2</v>
      </c>
      <c r="J260" s="18" t="n">
        <v>449</v>
      </c>
      <c r="K260" s="18" t="n">
        <v>260</v>
      </c>
      <c r="L260" s="19" t="n">
        <f aca="false">I260*J260</f>
        <v>898</v>
      </c>
      <c r="M260" s="19" t="n">
        <f aca="false">L260-I260*K260</f>
        <v>378</v>
      </c>
    </row>
    <row r="261" customFormat="false" ht="15" hidden="false" customHeight="false" outlineLevel="0" collapsed="false">
      <c r="A261" s="15" t="s">
        <v>303</v>
      </c>
      <c r="B261" s="16" t="n">
        <v>45433</v>
      </c>
      <c r="C261" s="17" t="n">
        <f aca="false">YEAR(B261)</f>
        <v>2024</v>
      </c>
      <c r="D261" s="17" t="n">
        <f aca="false">MONTH(B261)</f>
        <v>5</v>
      </c>
      <c r="E261" s="15" t="s">
        <v>48</v>
      </c>
      <c r="F261" s="15" t="s">
        <v>28</v>
      </c>
      <c r="G261" s="15" t="s">
        <v>29</v>
      </c>
      <c r="H261" s="15" t="s">
        <v>50</v>
      </c>
      <c r="I261" s="15" t="n">
        <v>1</v>
      </c>
      <c r="J261" s="18" t="n">
        <v>149</v>
      </c>
      <c r="K261" s="18" t="n">
        <v>60</v>
      </c>
      <c r="L261" s="19" t="n">
        <f aca="false">I261*J261</f>
        <v>149</v>
      </c>
      <c r="M261" s="19" t="n">
        <f aca="false">L261-I261*K261</f>
        <v>89</v>
      </c>
    </row>
    <row r="262" customFormat="false" ht="15" hidden="false" customHeight="false" outlineLevel="0" collapsed="false">
      <c r="A262" s="15" t="s">
        <v>304</v>
      </c>
      <c r="B262" s="16" t="n">
        <v>45359</v>
      </c>
      <c r="C262" s="17" t="n">
        <f aca="false">YEAR(B262)</f>
        <v>2024</v>
      </c>
      <c r="D262" s="17" t="n">
        <f aca="false">MONTH(B262)</f>
        <v>3</v>
      </c>
      <c r="E262" s="15" t="s">
        <v>27</v>
      </c>
      <c r="F262" s="15" t="s">
        <v>28</v>
      </c>
      <c r="G262" s="15" t="s">
        <v>39</v>
      </c>
      <c r="H262" s="15" t="s">
        <v>50</v>
      </c>
      <c r="I262" s="15" t="n">
        <v>3</v>
      </c>
      <c r="J262" s="18" t="n">
        <v>100</v>
      </c>
      <c r="K262" s="18" t="n">
        <v>88</v>
      </c>
      <c r="L262" s="19" t="n">
        <f aca="false">I262*J262</f>
        <v>300</v>
      </c>
      <c r="M262" s="19" t="n">
        <f aca="false">L262-I262*K262</f>
        <v>36</v>
      </c>
    </row>
    <row r="263" customFormat="false" ht="15" hidden="false" customHeight="false" outlineLevel="0" collapsed="false">
      <c r="A263" s="15" t="s">
        <v>305</v>
      </c>
      <c r="B263" s="16" t="n">
        <v>45838</v>
      </c>
      <c r="C263" s="17" t="n">
        <f aca="false">YEAR(B263)</f>
        <v>2025</v>
      </c>
      <c r="D263" s="17" t="n">
        <f aca="false">MONTH(B263)</f>
        <v>6</v>
      </c>
      <c r="E263" s="15" t="s">
        <v>27</v>
      </c>
      <c r="F263" s="15" t="s">
        <v>28</v>
      </c>
      <c r="G263" s="15" t="s">
        <v>35</v>
      </c>
      <c r="H263" s="15" t="s">
        <v>50</v>
      </c>
      <c r="I263" s="15" t="n">
        <v>1</v>
      </c>
      <c r="J263" s="18" t="n">
        <v>100</v>
      </c>
      <c r="K263" s="18" t="n">
        <v>88</v>
      </c>
      <c r="L263" s="19" t="n">
        <f aca="false">I263*J263</f>
        <v>100</v>
      </c>
      <c r="M263" s="19" t="n">
        <f aca="false">L263-I263*K263</f>
        <v>12</v>
      </c>
    </row>
    <row r="264" customFormat="false" ht="15" hidden="false" customHeight="false" outlineLevel="0" collapsed="false">
      <c r="A264" s="15" t="s">
        <v>306</v>
      </c>
      <c r="B264" s="16" t="n">
        <v>46020</v>
      </c>
      <c r="C264" s="17" t="n">
        <f aca="false">YEAR(B264)</f>
        <v>2025</v>
      </c>
      <c r="D264" s="17" t="n">
        <f aca="false">MONTH(B264)</f>
        <v>12</v>
      </c>
      <c r="E264" s="15" t="s">
        <v>27</v>
      </c>
      <c r="F264" s="15" t="s">
        <v>28</v>
      </c>
      <c r="G264" s="15" t="s">
        <v>39</v>
      </c>
      <c r="H264" s="15" t="s">
        <v>30</v>
      </c>
      <c r="I264" s="15" t="n">
        <v>1</v>
      </c>
      <c r="J264" s="18" t="n">
        <v>100</v>
      </c>
      <c r="K264" s="18" t="n">
        <v>88</v>
      </c>
      <c r="L264" s="19" t="n">
        <f aca="false">I264*J264</f>
        <v>100</v>
      </c>
      <c r="M264" s="19" t="n">
        <f aca="false">L264-I264*K264</f>
        <v>12</v>
      </c>
    </row>
    <row r="265" customFormat="false" ht="15" hidden="false" customHeight="false" outlineLevel="0" collapsed="false">
      <c r="A265" s="15" t="s">
        <v>307</v>
      </c>
      <c r="B265" s="16" t="n">
        <v>45326</v>
      </c>
      <c r="C265" s="17" t="n">
        <f aca="false">YEAR(B265)</f>
        <v>2024</v>
      </c>
      <c r="D265" s="17" t="n">
        <f aca="false">MONTH(B265)</f>
        <v>2</v>
      </c>
      <c r="E265" s="15" t="s">
        <v>62</v>
      </c>
      <c r="F265" s="15" t="s">
        <v>34</v>
      </c>
      <c r="G265" s="15" t="s">
        <v>35</v>
      </c>
      <c r="H265" s="15" t="s">
        <v>40</v>
      </c>
      <c r="I265" s="15" t="n">
        <v>1</v>
      </c>
      <c r="J265" s="18" t="n">
        <v>4499</v>
      </c>
      <c r="K265" s="18" t="n">
        <v>3400</v>
      </c>
      <c r="L265" s="19" t="n">
        <f aca="false">I265*J265</f>
        <v>4499</v>
      </c>
      <c r="M265" s="19" t="n">
        <f aca="false">L265-I265*K265</f>
        <v>1099</v>
      </c>
    </row>
    <row r="266" customFormat="false" ht="15" hidden="false" customHeight="false" outlineLevel="0" collapsed="false">
      <c r="A266" s="15" t="s">
        <v>308</v>
      </c>
      <c r="B266" s="16" t="n">
        <v>45586</v>
      </c>
      <c r="C266" s="17" t="n">
        <f aca="false">YEAR(B266)</f>
        <v>2024</v>
      </c>
      <c r="D266" s="17" t="n">
        <f aca="false">MONTH(B266)</f>
        <v>10</v>
      </c>
      <c r="E266" s="15" t="s">
        <v>37</v>
      </c>
      <c r="F266" s="15" t="s">
        <v>38</v>
      </c>
      <c r="G266" s="15" t="s">
        <v>39</v>
      </c>
      <c r="H266" s="15" t="s">
        <v>50</v>
      </c>
      <c r="I266" s="15" t="n">
        <v>2</v>
      </c>
      <c r="J266" s="18" t="n">
        <v>449</v>
      </c>
      <c r="K266" s="18" t="n">
        <v>260</v>
      </c>
      <c r="L266" s="19" t="n">
        <f aca="false">I266*J266</f>
        <v>898</v>
      </c>
      <c r="M266" s="19" t="n">
        <f aca="false">L266-I266*K266</f>
        <v>378</v>
      </c>
    </row>
    <row r="267" customFormat="false" ht="15" hidden="false" customHeight="false" outlineLevel="0" collapsed="false">
      <c r="A267" s="15" t="s">
        <v>309</v>
      </c>
      <c r="B267" s="16" t="n">
        <v>45501</v>
      </c>
      <c r="C267" s="17" t="n">
        <f aca="false">YEAR(B267)</f>
        <v>2024</v>
      </c>
      <c r="D267" s="17" t="n">
        <f aca="false">MONTH(B267)</f>
        <v>7</v>
      </c>
      <c r="E267" s="15" t="s">
        <v>37</v>
      </c>
      <c r="F267" s="15" t="s">
        <v>38</v>
      </c>
      <c r="G267" s="15" t="s">
        <v>29</v>
      </c>
      <c r="H267" s="15" t="s">
        <v>30</v>
      </c>
      <c r="I267" s="15" t="n">
        <v>3</v>
      </c>
      <c r="J267" s="18" t="n">
        <v>449</v>
      </c>
      <c r="K267" s="18" t="n">
        <v>260</v>
      </c>
      <c r="L267" s="19" t="n">
        <f aca="false">I267*J267</f>
        <v>1347</v>
      </c>
      <c r="M267" s="19" t="n">
        <f aca="false">L267-I267*K267</f>
        <v>567</v>
      </c>
    </row>
    <row r="268" customFormat="false" ht="15" hidden="false" customHeight="false" outlineLevel="0" collapsed="false">
      <c r="A268" s="15" t="s">
        <v>310</v>
      </c>
      <c r="B268" s="16" t="n">
        <v>45554</v>
      </c>
      <c r="C268" s="17" t="n">
        <f aca="false">YEAR(B268)</f>
        <v>2024</v>
      </c>
      <c r="D268" s="17" t="n">
        <f aca="false">MONTH(B268)</f>
        <v>9</v>
      </c>
      <c r="E268" s="15" t="s">
        <v>27</v>
      </c>
      <c r="F268" s="15" t="s">
        <v>28</v>
      </c>
      <c r="G268" s="15" t="s">
        <v>29</v>
      </c>
      <c r="H268" s="15" t="s">
        <v>30</v>
      </c>
      <c r="I268" s="15" t="n">
        <v>1</v>
      </c>
      <c r="J268" s="18" t="n">
        <v>100</v>
      </c>
      <c r="K268" s="18" t="n">
        <v>88</v>
      </c>
      <c r="L268" s="19" t="n">
        <f aca="false">I268*J268</f>
        <v>100</v>
      </c>
      <c r="M268" s="19" t="n">
        <f aca="false">L268-I268*K268</f>
        <v>12</v>
      </c>
    </row>
    <row r="269" customFormat="false" ht="15" hidden="false" customHeight="false" outlineLevel="0" collapsed="false">
      <c r="A269" s="15" t="s">
        <v>311</v>
      </c>
      <c r="B269" s="16" t="n">
        <v>45620</v>
      </c>
      <c r="C269" s="17" t="n">
        <f aca="false">YEAR(B269)</f>
        <v>2024</v>
      </c>
      <c r="D269" s="17" t="n">
        <f aca="false">MONTH(B269)</f>
        <v>11</v>
      </c>
      <c r="E269" s="15" t="s">
        <v>48</v>
      </c>
      <c r="F269" s="15" t="s">
        <v>28</v>
      </c>
      <c r="G269" s="15" t="s">
        <v>35</v>
      </c>
      <c r="H269" s="15" t="s">
        <v>40</v>
      </c>
      <c r="I269" s="15" t="n">
        <v>4</v>
      </c>
      <c r="J269" s="18" t="n">
        <v>149</v>
      </c>
      <c r="K269" s="18" t="n">
        <v>60</v>
      </c>
      <c r="L269" s="19" t="n">
        <f aca="false">I269*J269</f>
        <v>596</v>
      </c>
      <c r="M269" s="19" t="n">
        <f aca="false">L269-I269*K269</f>
        <v>356</v>
      </c>
    </row>
    <row r="270" customFormat="false" ht="15" hidden="false" customHeight="false" outlineLevel="0" collapsed="false">
      <c r="A270" s="15" t="s">
        <v>312</v>
      </c>
      <c r="B270" s="16" t="n">
        <v>45323</v>
      </c>
      <c r="C270" s="17" t="n">
        <f aca="false">YEAR(B270)</f>
        <v>2024</v>
      </c>
      <c r="D270" s="17" t="n">
        <f aca="false">MONTH(B270)</f>
        <v>2</v>
      </c>
      <c r="E270" s="15" t="s">
        <v>48</v>
      </c>
      <c r="F270" s="15" t="s">
        <v>28</v>
      </c>
      <c r="G270" s="15" t="s">
        <v>29</v>
      </c>
      <c r="H270" s="15" t="s">
        <v>50</v>
      </c>
      <c r="I270" s="15" t="n">
        <v>1</v>
      </c>
      <c r="J270" s="18" t="n">
        <v>149</v>
      </c>
      <c r="K270" s="18" t="n">
        <v>60</v>
      </c>
      <c r="L270" s="19" t="n">
        <f aca="false">I270*J270</f>
        <v>149</v>
      </c>
      <c r="M270" s="19" t="n">
        <f aca="false">L270-I270*K270</f>
        <v>89</v>
      </c>
    </row>
    <row r="271" customFormat="false" ht="15" hidden="false" customHeight="false" outlineLevel="0" collapsed="false">
      <c r="A271" s="15" t="s">
        <v>313</v>
      </c>
      <c r="B271" s="16" t="n">
        <v>45647</v>
      </c>
      <c r="C271" s="17" t="n">
        <f aca="false">YEAR(B271)</f>
        <v>2024</v>
      </c>
      <c r="D271" s="17" t="n">
        <f aca="false">MONTH(B271)</f>
        <v>12</v>
      </c>
      <c r="E271" s="15" t="s">
        <v>37</v>
      </c>
      <c r="F271" s="15" t="s">
        <v>38</v>
      </c>
      <c r="G271" s="15" t="s">
        <v>29</v>
      </c>
      <c r="H271" s="15" t="s">
        <v>30</v>
      </c>
      <c r="I271" s="15" t="n">
        <v>1</v>
      </c>
      <c r="J271" s="18" t="n">
        <v>449</v>
      </c>
      <c r="K271" s="18" t="n">
        <v>260</v>
      </c>
      <c r="L271" s="19" t="n">
        <f aca="false">I271*J271</f>
        <v>449</v>
      </c>
      <c r="M271" s="19" t="n">
        <f aca="false">L271-I271*K271</f>
        <v>189</v>
      </c>
    </row>
    <row r="272" customFormat="false" ht="15" hidden="false" customHeight="false" outlineLevel="0" collapsed="false">
      <c r="A272" s="15" t="s">
        <v>314</v>
      </c>
      <c r="B272" s="16" t="n">
        <v>45385</v>
      </c>
      <c r="C272" s="17" t="n">
        <f aca="false">YEAR(B272)</f>
        <v>2024</v>
      </c>
      <c r="D272" s="17" t="n">
        <f aca="false">MONTH(B272)</f>
        <v>4</v>
      </c>
      <c r="E272" s="15" t="s">
        <v>57</v>
      </c>
      <c r="F272" s="15" t="s">
        <v>38</v>
      </c>
      <c r="G272" s="15" t="s">
        <v>39</v>
      </c>
      <c r="H272" s="15" t="s">
        <v>30</v>
      </c>
      <c r="I272" s="15" t="n">
        <v>3</v>
      </c>
      <c r="J272" s="18" t="n">
        <v>699</v>
      </c>
      <c r="K272" s="18" t="n">
        <v>420</v>
      </c>
      <c r="L272" s="19" t="n">
        <f aca="false">I272*J272</f>
        <v>2097</v>
      </c>
      <c r="M272" s="19" t="n">
        <f aca="false">L272-I272*K272</f>
        <v>837</v>
      </c>
    </row>
    <row r="273" customFormat="false" ht="15" hidden="false" customHeight="false" outlineLevel="0" collapsed="false">
      <c r="A273" s="15" t="s">
        <v>315</v>
      </c>
      <c r="B273" s="16" t="n">
        <v>45498</v>
      </c>
      <c r="C273" s="17" t="n">
        <f aca="false">YEAR(B273)</f>
        <v>2024</v>
      </c>
      <c r="D273" s="17" t="n">
        <f aca="false">MONTH(B273)</f>
        <v>7</v>
      </c>
      <c r="E273" s="15" t="s">
        <v>37</v>
      </c>
      <c r="F273" s="15" t="s">
        <v>38</v>
      </c>
      <c r="G273" s="15" t="s">
        <v>43</v>
      </c>
      <c r="H273" s="15" t="s">
        <v>40</v>
      </c>
      <c r="I273" s="15" t="n">
        <v>1</v>
      </c>
      <c r="J273" s="18" t="n">
        <v>449</v>
      </c>
      <c r="K273" s="18" t="n">
        <v>260</v>
      </c>
      <c r="L273" s="19" t="n">
        <f aca="false">I273*J273</f>
        <v>449</v>
      </c>
      <c r="M273" s="19" t="n">
        <f aca="false">L273-I273*K273</f>
        <v>189</v>
      </c>
    </row>
    <row r="274" customFormat="false" ht="15" hidden="false" customHeight="false" outlineLevel="0" collapsed="false">
      <c r="A274" s="15" t="s">
        <v>316</v>
      </c>
      <c r="B274" s="16" t="n">
        <v>45795</v>
      </c>
      <c r="C274" s="17" t="n">
        <f aca="false">YEAR(B274)</f>
        <v>2025</v>
      </c>
      <c r="D274" s="17" t="n">
        <f aca="false">MONTH(B274)</f>
        <v>5</v>
      </c>
      <c r="E274" s="15" t="s">
        <v>48</v>
      </c>
      <c r="F274" s="15" t="s">
        <v>28</v>
      </c>
      <c r="G274" s="15" t="s">
        <v>35</v>
      </c>
      <c r="H274" s="15" t="s">
        <v>40</v>
      </c>
      <c r="I274" s="15" t="n">
        <v>2</v>
      </c>
      <c r="J274" s="18" t="n">
        <v>149</v>
      </c>
      <c r="K274" s="18" t="n">
        <v>60</v>
      </c>
      <c r="L274" s="19" t="n">
        <f aca="false">I274*J274</f>
        <v>298</v>
      </c>
      <c r="M274" s="19" t="n">
        <f aca="false">L274-I274*K274</f>
        <v>178</v>
      </c>
    </row>
    <row r="275" customFormat="false" ht="15" hidden="false" customHeight="false" outlineLevel="0" collapsed="false">
      <c r="A275" s="15" t="s">
        <v>317</v>
      </c>
      <c r="B275" s="16" t="n">
        <v>45819</v>
      </c>
      <c r="C275" s="17" t="n">
        <f aca="false">YEAR(B275)</f>
        <v>2025</v>
      </c>
      <c r="D275" s="17" t="n">
        <f aca="false">MONTH(B275)</f>
        <v>6</v>
      </c>
      <c r="E275" s="15" t="s">
        <v>37</v>
      </c>
      <c r="F275" s="15" t="s">
        <v>38</v>
      </c>
      <c r="G275" s="15" t="s">
        <v>55</v>
      </c>
      <c r="H275" s="15" t="s">
        <v>30</v>
      </c>
      <c r="I275" s="15" t="n">
        <v>2</v>
      </c>
      <c r="J275" s="18" t="n">
        <v>449</v>
      </c>
      <c r="K275" s="18" t="n">
        <v>260</v>
      </c>
      <c r="L275" s="19" t="n">
        <f aca="false">I275*J275</f>
        <v>898</v>
      </c>
      <c r="M275" s="19" t="n">
        <f aca="false">L275-I275*K275</f>
        <v>378</v>
      </c>
    </row>
    <row r="276" customFormat="false" ht="15" hidden="false" customHeight="false" outlineLevel="0" collapsed="false">
      <c r="A276" s="15" t="s">
        <v>318</v>
      </c>
      <c r="B276" s="16" t="n">
        <v>46008</v>
      </c>
      <c r="C276" s="17" t="n">
        <f aca="false">YEAR(B276)</f>
        <v>2025</v>
      </c>
      <c r="D276" s="17" t="n">
        <f aca="false">MONTH(B276)</f>
        <v>12</v>
      </c>
      <c r="E276" s="15" t="s">
        <v>37</v>
      </c>
      <c r="F276" s="15" t="s">
        <v>38</v>
      </c>
      <c r="G276" s="15" t="s">
        <v>39</v>
      </c>
      <c r="H276" s="15" t="s">
        <v>40</v>
      </c>
      <c r="I276" s="15" t="n">
        <v>2</v>
      </c>
      <c r="J276" s="18" t="n">
        <v>449</v>
      </c>
      <c r="K276" s="18" t="n">
        <v>260</v>
      </c>
      <c r="L276" s="19" t="n">
        <f aca="false">I276*J276</f>
        <v>898</v>
      </c>
      <c r="M276" s="19" t="n">
        <f aca="false">L276-I276*K276</f>
        <v>378</v>
      </c>
    </row>
    <row r="277" customFormat="false" ht="15" hidden="false" customHeight="false" outlineLevel="0" collapsed="false">
      <c r="A277" s="15" t="s">
        <v>319</v>
      </c>
      <c r="B277" s="16" t="n">
        <v>45374</v>
      </c>
      <c r="C277" s="17" t="n">
        <f aca="false">YEAR(B277)</f>
        <v>2024</v>
      </c>
      <c r="D277" s="17" t="n">
        <f aca="false">MONTH(B277)</f>
        <v>3</v>
      </c>
      <c r="E277" s="15" t="s">
        <v>37</v>
      </c>
      <c r="F277" s="15" t="s">
        <v>38</v>
      </c>
      <c r="G277" s="15" t="s">
        <v>29</v>
      </c>
      <c r="H277" s="15" t="s">
        <v>30</v>
      </c>
      <c r="I277" s="15" t="n">
        <v>1</v>
      </c>
      <c r="J277" s="18" t="n">
        <v>449</v>
      </c>
      <c r="K277" s="18" t="n">
        <v>260</v>
      </c>
      <c r="L277" s="19" t="n">
        <f aca="false">I277*J277</f>
        <v>449</v>
      </c>
      <c r="M277" s="19" t="n">
        <f aca="false">L277-I277*K277</f>
        <v>189</v>
      </c>
    </row>
    <row r="278" customFormat="false" ht="15" hidden="false" customHeight="false" outlineLevel="0" collapsed="false">
      <c r="A278" s="15" t="s">
        <v>320</v>
      </c>
      <c r="B278" s="16" t="n">
        <v>45702</v>
      </c>
      <c r="C278" s="17" t="n">
        <f aca="false">YEAR(B278)</f>
        <v>2025</v>
      </c>
      <c r="D278" s="17" t="n">
        <f aca="false">MONTH(B278)</f>
        <v>2</v>
      </c>
      <c r="E278" s="15" t="s">
        <v>27</v>
      </c>
      <c r="F278" s="15" t="s">
        <v>28</v>
      </c>
      <c r="G278" s="15" t="s">
        <v>29</v>
      </c>
      <c r="H278" s="15" t="s">
        <v>40</v>
      </c>
      <c r="I278" s="15" t="n">
        <v>1</v>
      </c>
      <c r="J278" s="18" t="n">
        <v>100</v>
      </c>
      <c r="K278" s="18" t="n">
        <v>88</v>
      </c>
      <c r="L278" s="19" t="n">
        <f aca="false">I278*J278</f>
        <v>100</v>
      </c>
      <c r="M278" s="19" t="n">
        <f aca="false">L278-I278*K278</f>
        <v>12</v>
      </c>
    </row>
    <row r="279" customFormat="false" ht="15" hidden="false" customHeight="false" outlineLevel="0" collapsed="false">
      <c r="A279" s="15" t="s">
        <v>321</v>
      </c>
      <c r="B279" s="16" t="n">
        <v>45672</v>
      </c>
      <c r="C279" s="17" t="n">
        <f aca="false">YEAR(B279)</f>
        <v>2025</v>
      </c>
      <c r="D279" s="17" t="n">
        <f aca="false">MONTH(B279)</f>
        <v>1</v>
      </c>
      <c r="E279" s="15" t="s">
        <v>33</v>
      </c>
      <c r="F279" s="15" t="s">
        <v>34</v>
      </c>
      <c r="G279" s="15" t="s">
        <v>29</v>
      </c>
      <c r="H279" s="15" t="s">
        <v>40</v>
      </c>
      <c r="I279" s="15" t="n">
        <v>2</v>
      </c>
      <c r="J279" s="18" t="n">
        <v>2799</v>
      </c>
      <c r="K279" s="18" t="n">
        <v>2100</v>
      </c>
      <c r="L279" s="19" t="n">
        <f aca="false">I279*J279</f>
        <v>5598</v>
      </c>
      <c r="M279" s="19" t="n">
        <f aca="false">L279-I279*K279</f>
        <v>1398</v>
      </c>
    </row>
    <row r="280" customFormat="false" ht="15" hidden="false" customHeight="false" outlineLevel="0" collapsed="false">
      <c r="A280" s="15" t="s">
        <v>322</v>
      </c>
      <c r="B280" s="16" t="n">
        <v>45467</v>
      </c>
      <c r="C280" s="17" t="n">
        <f aca="false">YEAR(B280)</f>
        <v>2024</v>
      </c>
      <c r="D280" s="17" t="n">
        <f aca="false">MONTH(B280)</f>
        <v>6</v>
      </c>
      <c r="E280" s="15" t="s">
        <v>37</v>
      </c>
      <c r="F280" s="15" t="s">
        <v>38</v>
      </c>
      <c r="G280" s="15" t="s">
        <v>35</v>
      </c>
      <c r="H280" s="15" t="s">
        <v>30</v>
      </c>
      <c r="I280" s="15" t="n">
        <v>2</v>
      </c>
      <c r="J280" s="18" t="n">
        <v>449</v>
      </c>
      <c r="K280" s="18" t="n">
        <v>260</v>
      </c>
      <c r="L280" s="19" t="n">
        <f aca="false">I280*J280</f>
        <v>898</v>
      </c>
      <c r="M280" s="19" t="n">
        <f aca="false">L280-I280*K280</f>
        <v>378</v>
      </c>
    </row>
    <row r="281" customFormat="false" ht="15" hidden="false" customHeight="false" outlineLevel="0" collapsed="false">
      <c r="A281" s="15" t="s">
        <v>323</v>
      </c>
      <c r="B281" s="16" t="n">
        <v>45900</v>
      </c>
      <c r="C281" s="17" t="n">
        <f aca="false">YEAR(B281)</f>
        <v>2025</v>
      </c>
      <c r="D281" s="17" t="n">
        <f aca="false">MONTH(B281)</f>
        <v>8</v>
      </c>
      <c r="E281" s="15" t="s">
        <v>48</v>
      </c>
      <c r="F281" s="15" t="s">
        <v>28</v>
      </c>
      <c r="G281" s="15" t="s">
        <v>55</v>
      </c>
      <c r="H281" s="15" t="s">
        <v>30</v>
      </c>
      <c r="I281" s="15" t="n">
        <v>1</v>
      </c>
      <c r="J281" s="18" t="n">
        <v>149</v>
      </c>
      <c r="K281" s="18" t="n">
        <v>60</v>
      </c>
      <c r="L281" s="19" t="n">
        <f aca="false">I281*J281</f>
        <v>149</v>
      </c>
      <c r="M281" s="19" t="n">
        <f aca="false">L281-I281*K281</f>
        <v>89</v>
      </c>
    </row>
    <row r="282" customFormat="false" ht="15" hidden="false" customHeight="false" outlineLevel="0" collapsed="false">
      <c r="A282" s="15" t="s">
        <v>324</v>
      </c>
      <c r="B282" s="16" t="n">
        <v>45451</v>
      </c>
      <c r="C282" s="17" t="n">
        <f aca="false">YEAR(B282)</f>
        <v>2024</v>
      </c>
      <c r="D282" s="17" t="n">
        <f aca="false">MONTH(B282)</f>
        <v>6</v>
      </c>
      <c r="E282" s="15" t="s">
        <v>27</v>
      </c>
      <c r="F282" s="15" t="s">
        <v>28</v>
      </c>
      <c r="G282" s="15" t="s">
        <v>29</v>
      </c>
      <c r="H282" s="15" t="s">
        <v>50</v>
      </c>
      <c r="I282" s="15" t="n">
        <v>4</v>
      </c>
      <c r="J282" s="18" t="n">
        <v>100</v>
      </c>
      <c r="K282" s="18" t="n">
        <v>88</v>
      </c>
      <c r="L282" s="19" t="n">
        <f aca="false">I282*J282</f>
        <v>400</v>
      </c>
      <c r="M282" s="19" t="n">
        <f aca="false">L282-I282*K282</f>
        <v>48</v>
      </c>
    </row>
    <row r="283" customFormat="false" ht="15" hidden="false" customHeight="false" outlineLevel="0" collapsed="false">
      <c r="A283" s="15" t="s">
        <v>325</v>
      </c>
      <c r="B283" s="16" t="n">
        <v>45465</v>
      </c>
      <c r="C283" s="17" t="n">
        <f aca="false">YEAR(B283)</f>
        <v>2024</v>
      </c>
      <c r="D283" s="17" t="n">
        <f aca="false">MONTH(B283)</f>
        <v>6</v>
      </c>
      <c r="E283" s="15" t="s">
        <v>37</v>
      </c>
      <c r="F283" s="15" t="s">
        <v>38</v>
      </c>
      <c r="G283" s="15" t="s">
        <v>29</v>
      </c>
      <c r="H283" s="15" t="s">
        <v>30</v>
      </c>
      <c r="I283" s="15" t="n">
        <v>3</v>
      </c>
      <c r="J283" s="18" t="n">
        <v>449</v>
      </c>
      <c r="K283" s="18" t="n">
        <v>260</v>
      </c>
      <c r="L283" s="19" t="n">
        <f aca="false">I283*J283</f>
        <v>1347</v>
      </c>
      <c r="M283" s="19" t="n">
        <f aca="false">L283-I283*K283</f>
        <v>567</v>
      </c>
    </row>
    <row r="284" customFormat="false" ht="15" hidden="false" customHeight="false" outlineLevel="0" collapsed="false">
      <c r="A284" s="15" t="s">
        <v>326</v>
      </c>
      <c r="B284" s="16" t="n">
        <v>45765</v>
      </c>
      <c r="C284" s="17" t="n">
        <f aca="false">YEAR(B284)</f>
        <v>2025</v>
      </c>
      <c r="D284" s="17" t="n">
        <f aca="false">MONTH(B284)</f>
        <v>4</v>
      </c>
      <c r="E284" s="15" t="s">
        <v>48</v>
      </c>
      <c r="F284" s="15" t="s">
        <v>28</v>
      </c>
      <c r="G284" s="15" t="s">
        <v>29</v>
      </c>
      <c r="H284" s="15" t="s">
        <v>30</v>
      </c>
      <c r="I284" s="15" t="n">
        <v>2</v>
      </c>
      <c r="J284" s="18" t="n">
        <v>149</v>
      </c>
      <c r="K284" s="18" t="n">
        <v>60</v>
      </c>
      <c r="L284" s="19" t="n">
        <f aca="false">I284*J284</f>
        <v>298</v>
      </c>
      <c r="M284" s="19" t="n">
        <f aca="false">L284-I284*K284</f>
        <v>178</v>
      </c>
    </row>
    <row r="285" customFormat="false" ht="15" hidden="false" customHeight="false" outlineLevel="0" collapsed="false">
      <c r="A285" s="15" t="s">
        <v>327</v>
      </c>
      <c r="B285" s="16" t="n">
        <v>46012</v>
      </c>
      <c r="C285" s="17" t="n">
        <f aca="false">YEAR(B285)</f>
        <v>2025</v>
      </c>
      <c r="D285" s="17" t="n">
        <f aca="false">MONTH(B285)</f>
        <v>12</v>
      </c>
      <c r="E285" s="15" t="s">
        <v>27</v>
      </c>
      <c r="F285" s="15" t="s">
        <v>28</v>
      </c>
      <c r="G285" s="15" t="s">
        <v>29</v>
      </c>
      <c r="H285" s="15" t="s">
        <v>50</v>
      </c>
      <c r="I285" s="15" t="n">
        <v>2</v>
      </c>
      <c r="J285" s="18" t="n">
        <v>100</v>
      </c>
      <c r="K285" s="18" t="n">
        <v>88</v>
      </c>
      <c r="L285" s="19" t="n">
        <f aca="false">I285*J285</f>
        <v>200</v>
      </c>
      <c r="M285" s="19" t="n">
        <f aca="false">L285-I285*K285</f>
        <v>24</v>
      </c>
    </row>
    <row r="286" customFormat="false" ht="15" hidden="false" customHeight="false" outlineLevel="0" collapsed="false">
      <c r="A286" s="15" t="s">
        <v>328</v>
      </c>
      <c r="B286" s="16" t="n">
        <v>45626</v>
      </c>
      <c r="C286" s="17" t="n">
        <f aca="false">YEAR(B286)</f>
        <v>2024</v>
      </c>
      <c r="D286" s="17" t="n">
        <f aca="false">MONTH(B286)</f>
        <v>11</v>
      </c>
      <c r="E286" s="15" t="s">
        <v>57</v>
      </c>
      <c r="F286" s="15" t="s">
        <v>38</v>
      </c>
      <c r="G286" s="15" t="s">
        <v>39</v>
      </c>
      <c r="H286" s="15" t="s">
        <v>30</v>
      </c>
      <c r="I286" s="15" t="n">
        <v>3</v>
      </c>
      <c r="J286" s="18" t="n">
        <v>699</v>
      </c>
      <c r="K286" s="18" t="n">
        <v>420</v>
      </c>
      <c r="L286" s="19" t="n">
        <f aca="false">I286*J286</f>
        <v>2097</v>
      </c>
      <c r="M286" s="19" t="n">
        <f aca="false">L286-I286*K286</f>
        <v>837</v>
      </c>
    </row>
    <row r="287" customFormat="false" ht="15" hidden="false" customHeight="false" outlineLevel="0" collapsed="false">
      <c r="A287" s="15" t="s">
        <v>329</v>
      </c>
      <c r="B287" s="16" t="n">
        <v>45485</v>
      </c>
      <c r="C287" s="17" t="n">
        <f aca="false">YEAR(B287)</f>
        <v>2024</v>
      </c>
      <c r="D287" s="17" t="n">
        <f aca="false">MONTH(B287)</f>
        <v>7</v>
      </c>
      <c r="E287" s="15" t="s">
        <v>37</v>
      </c>
      <c r="F287" s="15" t="s">
        <v>38</v>
      </c>
      <c r="G287" s="15" t="s">
        <v>39</v>
      </c>
      <c r="H287" s="15" t="s">
        <v>40</v>
      </c>
      <c r="I287" s="15" t="n">
        <v>1</v>
      </c>
      <c r="J287" s="18" t="n">
        <v>449</v>
      </c>
      <c r="K287" s="18" t="n">
        <v>260</v>
      </c>
      <c r="L287" s="19" t="n">
        <f aca="false">I287*J287</f>
        <v>449</v>
      </c>
      <c r="M287" s="19" t="n">
        <f aca="false">L287-I287*K287</f>
        <v>189</v>
      </c>
    </row>
    <row r="288" customFormat="false" ht="15" hidden="false" customHeight="false" outlineLevel="0" collapsed="false">
      <c r="A288" s="15" t="s">
        <v>330</v>
      </c>
      <c r="B288" s="16" t="n">
        <v>45492</v>
      </c>
      <c r="C288" s="17" t="n">
        <f aca="false">YEAR(B288)</f>
        <v>2024</v>
      </c>
      <c r="D288" s="17" t="n">
        <f aca="false">MONTH(B288)</f>
        <v>7</v>
      </c>
      <c r="E288" s="15" t="s">
        <v>37</v>
      </c>
      <c r="F288" s="15" t="s">
        <v>38</v>
      </c>
      <c r="G288" s="15" t="s">
        <v>29</v>
      </c>
      <c r="H288" s="15" t="s">
        <v>50</v>
      </c>
      <c r="I288" s="15" t="n">
        <v>2</v>
      </c>
      <c r="J288" s="18" t="n">
        <v>449</v>
      </c>
      <c r="K288" s="18" t="n">
        <v>260</v>
      </c>
      <c r="L288" s="19" t="n">
        <f aca="false">I288*J288</f>
        <v>898</v>
      </c>
      <c r="M288" s="19" t="n">
        <f aca="false">L288-I288*K288</f>
        <v>378</v>
      </c>
    </row>
    <row r="289" customFormat="false" ht="15" hidden="false" customHeight="false" outlineLevel="0" collapsed="false">
      <c r="A289" s="15" t="s">
        <v>331</v>
      </c>
      <c r="B289" s="16" t="n">
        <v>45737</v>
      </c>
      <c r="C289" s="17" t="n">
        <f aca="false">YEAR(B289)</f>
        <v>2025</v>
      </c>
      <c r="D289" s="17" t="n">
        <f aca="false">MONTH(B289)</f>
        <v>3</v>
      </c>
      <c r="E289" s="15" t="s">
        <v>37</v>
      </c>
      <c r="F289" s="15" t="s">
        <v>38</v>
      </c>
      <c r="G289" s="15" t="s">
        <v>29</v>
      </c>
      <c r="H289" s="15" t="s">
        <v>30</v>
      </c>
      <c r="I289" s="15" t="n">
        <v>1</v>
      </c>
      <c r="J289" s="18" t="n">
        <v>449</v>
      </c>
      <c r="K289" s="18" t="n">
        <v>260</v>
      </c>
      <c r="L289" s="19" t="n">
        <f aca="false">I289*J289</f>
        <v>449</v>
      </c>
      <c r="M289" s="19" t="n">
        <f aca="false">L289-I289*K289</f>
        <v>189</v>
      </c>
    </row>
    <row r="290" customFormat="false" ht="15" hidden="false" customHeight="false" outlineLevel="0" collapsed="false">
      <c r="A290" s="15" t="s">
        <v>332</v>
      </c>
      <c r="B290" s="16" t="n">
        <v>45503</v>
      </c>
      <c r="C290" s="17" t="n">
        <f aca="false">YEAR(B290)</f>
        <v>2024</v>
      </c>
      <c r="D290" s="17" t="n">
        <f aca="false">MONTH(B290)</f>
        <v>7</v>
      </c>
      <c r="E290" s="15" t="s">
        <v>27</v>
      </c>
      <c r="F290" s="15" t="s">
        <v>28</v>
      </c>
      <c r="G290" s="15" t="s">
        <v>43</v>
      </c>
      <c r="H290" s="15" t="s">
        <v>30</v>
      </c>
      <c r="I290" s="15" t="n">
        <v>4</v>
      </c>
      <c r="J290" s="18" t="n">
        <v>100</v>
      </c>
      <c r="K290" s="18" t="n">
        <v>88</v>
      </c>
      <c r="L290" s="19" t="n">
        <f aca="false">I290*J290</f>
        <v>400</v>
      </c>
      <c r="M290" s="19" t="n">
        <f aca="false">L290-I290*K290</f>
        <v>48</v>
      </c>
    </row>
    <row r="291" customFormat="false" ht="15" hidden="false" customHeight="false" outlineLevel="0" collapsed="false">
      <c r="A291" s="15" t="s">
        <v>333</v>
      </c>
      <c r="B291" s="16" t="n">
        <v>45739</v>
      </c>
      <c r="C291" s="17" t="n">
        <f aca="false">YEAR(B291)</f>
        <v>2025</v>
      </c>
      <c r="D291" s="17" t="n">
        <f aca="false">MONTH(B291)</f>
        <v>3</v>
      </c>
      <c r="E291" s="15" t="s">
        <v>48</v>
      </c>
      <c r="F291" s="15" t="s">
        <v>28</v>
      </c>
      <c r="G291" s="15" t="s">
        <v>29</v>
      </c>
      <c r="H291" s="15" t="s">
        <v>30</v>
      </c>
      <c r="I291" s="15" t="n">
        <v>3</v>
      </c>
      <c r="J291" s="18" t="n">
        <v>149</v>
      </c>
      <c r="K291" s="18" t="n">
        <v>60</v>
      </c>
      <c r="L291" s="19" t="n">
        <f aca="false">I291*J291</f>
        <v>447</v>
      </c>
      <c r="M291" s="19" t="n">
        <f aca="false">L291-I291*K291</f>
        <v>267</v>
      </c>
    </row>
    <row r="292" customFormat="false" ht="15" hidden="false" customHeight="false" outlineLevel="0" collapsed="false">
      <c r="A292" s="15" t="s">
        <v>334</v>
      </c>
      <c r="B292" s="16" t="n">
        <v>45910</v>
      </c>
      <c r="C292" s="17" t="n">
        <f aca="false">YEAR(B292)</f>
        <v>2025</v>
      </c>
      <c r="D292" s="17" t="n">
        <f aca="false">MONTH(B292)</f>
        <v>9</v>
      </c>
      <c r="E292" s="15" t="s">
        <v>48</v>
      </c>
      <c r="F292" s="15" t="s">
        <v>28</v>
      </c>
      <c r="G292" s="15" t="s">
        <v>29</v>
      </c>
      <c r="H292" s="15" t="s">
        <v>50</v>
      </c>
      <c r="I292" s="15" t="n">
        <v>1</v>
      </c>
      <c r="J292" s="18" t="n">
        <v>149</v>
      </c>
      <c r="K292" s="18" t="n">
        <v>60</v>
      </c>
      <c r="L292" s="19" t="n">
        <f aca="false">I292*J292</f>
        <v>149</v>
      </c>
      <c r="M292" s="19" t="n">
        <f aca="false">L292-I292*K292</f>
        <v>89</v>
      </c>
    </row>
    <row r="293" customFormat="false" ht="15" hidden="false" customHeight="false" outlineLevel="0" collapsed="false">
      <c r="A293" s="15" t="s">
        <v>335</v>
      </c>
      <c r="B293" s="16" t="n">
        <v>45732</v>
      </c>
      <c r="C293" s="17" t="n">
        <f aca="false">YEAR(B293)</f>
        <v>2025</v>
      </c>
      <c r="D293" s="17" t="n">
        <f aca="false">MONTH(B293)</f>
        <v>3</v>
      </c>
      <c r="E293" s="15" t="s">
        <v>48</v>
      </c>
      <c r="F293" s="15" t="s">
        <v>28</v>
      </c>
      <c r="G293" s="15" t="s">
        <v>35</v>
      </c>
      <c r="H293" s="15" t="s">
        <v>50</v>
      </c>
      <c r="I293" s="15" t="n">
        <v>4</v>
      </c>
      <c r="J293" s="18" t="n">
        <v>149</v>
      </c>
      <c r="K293" s="18" t="n">
        <v>60</v>
      </c>
      <c r="L293" s="19" t="n">
        <f aca="false">I293*J293</f>
        <v>596</v>
      </c>
      <c r="M293" s="19" t="n">
        <f aca="false">L293-I293*K293</f>
        <v>356</v>
      </c>
    </row>
    <row r="294" customFormat="false" ht="15" hidden="false" customHeight="false" outlineLevel="0" collapsed="false">
      <c r="A294" s="15" t="s">
        <v>336</v>
      </c>
      <c r="B294" s="16" t="n">
        <v>45960</v>
      </c>
      <c r="C294" s="17" t="n">
        <f aca="false">YEAR(B294)</f>
        <v>2025</v>
      </c>
      <c r="D294" s="17" t="n">
        <f aca="false">MONTH(B294)</f>
        <v>10</v>
      </c>
      <c r="E294" s="15" t="s">
        <v>27</v>
      </c>
      <c r="F294" s="15" t="s">
        <v>28</v>
      </c>
      <c r="G294" s="15" t="s">
        <v>29</v>
      </c>
      <c r="H294" s="15" t="s">
        <v>40</v>
      </c>
      <c r="I294" s="15" t="n">
        <v>2</v>
      </c>
      <c r="J294" s="18" t="n">
        <v>100</v>
      </c>
      <c r="K294" s="18" t="n">
        <v>88</v>
      </c>
      <c r="L294" s="19" t="n">
        <f aca="false">I294*J294</f>
        <v>200</v>
      </c>
      <c r="M294" s="19" t="n">
        <f aca="false">L294-I294*K294</f>
        <v>24</v>
      </c>
    </row>
    <row r="295" customFormat="false" ht="15" hidden="false" customHeight="false" outlineLevel="0" collapsed="false">
      <c r="A295" s="15" t="s">
        <v>337</v>
      </c>
      <c r="B295" s="16" t="n">
        <v>45756</v>
      </c>
      <c r="C295" s="17" t="n">
        <f aca="false">YEAR(B295)</f>
        <v>2025</v>
      </c>
      <c r="D295" s="17" t="n">
        <f aca="false">MONTH(B295)</f>
        <v>4</v>
      </c>
      <c r="E295" s="15" t="s">
        <v>37</v>
      </c>
      <c r="F295" s="15" t="s">
        <v>38</v>
      </c>
      <c r="G295" s="15" t="s">
        <v>29</v>
      </c>
      <c r="H295" s="15" t="s">
        <v>30</v>
      </c>
      <c r="I295" s="15" t="n">
        <v>3</v>
      </c>
      <c r="J295" s="18" t="n">
        <v>449</v>
      </c>
      <c r="K295" s="18" t="n">
        <v>260</v>
      </c>
      <c r="L295" s="19" t="n">
        <f aca="false">I295*J295</f>
        <v>1347</v>
      </c>
      <c r="M295" s="19" t="n">
        <f aca="false">L295-I295*K295</f>
        <v>567</v>
      </c>
    </row>
    <row r="296" customFormat="false" ht="15" hidden="false" customHeight="false" outlineLevel="0" collapsed="false">
      <c r="A296" s="15" t="s">
        <v>338</v>
      </c>
      <c r="B296" s="16" t="n">
        <v>45721</v>
      </c>
      <c r="C296" s="17" t="n">
        <f aca="false">YEAR(B296)</f>
        <v>2025</v>
      </c>
      <c r="D296" s="17" t="n">
        <f aca="false">MONTH(B296)</f>
        <v>3</v>
      </c>
      <c r="E296" s="15" t="s">
        <v>37</v>
      </c>
      <c r="F296" s="15" t="s">
        <v>38</v>
      </c>
      <c r="G296" s="15" t="s">
        <v>29</v>
      </c>
      <c r="H296" s="15" t="s">
        <v>40</v>
      </c>
      <c r="I296" s="15" t="n">
        <v>4</v>
      </c>
      <c r="J296" s="18" t="n">
        <v>449</v>
      </c>
      <c r="K296" s="18" t="n">
        <v>260</v>
      </c>
      <c r="L296" s="19" t="n">
        <f aca="false">I296*J296</f>
        <v>1796</v>
      </c>
      <c r="M296" s="19" t="n">
        <f aca="false">L296-I296*K296</f>
        <v>756</v>
      </c>
    </row>
    <row r="297" customFormat="false" ht="15" hidden="false" customHeight="false" outlineLevel="0" collapsed="false">
      <c r="A297" s="15" t="s">
        <v>339</v>
      </c>
      <c r="B297" s="16" t="n">
        <v>45548</v>
      </c>
      <c r="C297" s="17" t="n">
        <f aca="false">YEAR(B297)</f>
        <v>2024</v>
      </c>
      <c r="D297" s="17" t="n">
        <f aca="false">MONTH(B297)</f>
        <v>9</v>
      </c>
      <c r="E297" s="15" t="s">
        <v>27</v>
      </c>
      <c r="F297" s="15" t="s">
        <v>28</v>
      </c>
      <c r="G297" s="15" t="s">
        <v>29</v>
      </c>
      <c r="H297" s="15" t="s">
        <v>40</v>
      </c>
      <c r="I297" s="15" t="n">
        <v>4</v>
      </c>
      <c r="J297" s="18" t="n">
        <v>100</v>
      </c>
      <c r="K297" s="18" t="n">
        <v>88</v>
      </c>
      <c r="L297" s="19" t="n">
        <f aca="false">I297*J297</f>
        <v>400</v>
      </c>
      <c r="M297" s="19" t="n">
        <f aca="false">L297-I297*K297</f>
        <v>48</v>
      </c>
    </row>
    <row r="298" customFormat="false" ht="15" hidden="false" customHeight="false" outlineLevel="0" collapsed="false">
      <c r="A298" s="15" t="s">
        <v>340</v>
      </c>
      <c r="B298" s="16" t="n">
        <v>45711</v>
      </c>
      <c r="C298" s="17" t="n">
        <f aca="false">YEAR(B298)</f>
        <v>2025</v>
      </c>
      <c r="D298" s="17" t="n">
        <f aca="false">MONTH(B298)</f>
        <v>2</v>
      </c>
      <c r="E298" s="15" t="s">
        <v>57</v>
      </c>
      <c r="F298" s="15" t="s">
        <v>38</v>
      </c>
      <c r="G298" s="15" t="s">
        <v>35</v>
      </c>
      <c r="H298" s="15" t="s">
        <v>30</v>
      </c>
      <c r="I298" s="15" t="n">
        <v>2</v>
      </c>
      <c r="J298" s="18" t="n">
        <v>699</v>
      </c>
      <c r="K298" s="18" t="n">
        <v>420</v>
      </c>
      <c r="L298" s="19" t="n">
        <f aca="false">I298*J298</f>
        <v>1398</v>
      </c>
      <c r="M298" s="19" t="n">
        <f aca="false">L298-I298*K298</f>
        <v>558</v>
      </c>
    </row>
    <row r="299" customFormat="false" ht="15" hidden="false" customHeight="false" outlineLevel="0" collapsed="false">
      <c r="A299" s="15" t="s">
        <v>341</v>
      </c>
      <c r="B299" s="16" t="n">
        <v>45302</v>
      </c>
      <c r="C299" s="17" t="n">
        <f aca="false">YEAR(B299)</f>
        <v>2024</v>
      </c>
      <c r="D299" s="17" t="n">
        <f aca="false">MONTH(B299)</f>
        <v>1</v>
      </c>
      <c r="E299" s="15" t="s">
        <v>37</v>
      </c>
      <c r="F299" s="15" t="s">
        <v>38</v>
      </c>
      <c r="G299" s="15" t="s">
        <v>35</v>
      </c>
      <c r="H299" s="15" t="s">
        <v>30</v>
      </c>
      <c r="I299" s="15" t="n">
        <v>4</v>
      </c>
      <c r="J299" s="18" t="n">
        <v>449</v>
      </c>
      <c r="K299" s="18" t="n">
        <v>260</v>
      </c>
      <c r="L299" s="19" t="n">
        <f aca="false">I299*J299</f>
        <v>1796</v>
      </c>
      <c r="M299" s="19" t="n">
        <f aca="false">L299-I299*K299</f>
        <v>756</v>
      </c>
    </row>
    <row r="300" customFormat="false" ht="15" hidden="false" customHeight="false" outlineLevel="0" collapsed="false">
      <c r="A300" s="15" t="s">
        <v>342</v>
      </c>
      <c r="B300" s="16" t="n">
        <v>45549</v>
      </c>
      <c r="C300" s="17" t="n">
        <f aca="false">YEAR(B300)</f>
        <v>2024</v>
      </c>
      <c r="D300" s="17" t="n">
        <f aca="false">MONTH(B300)</f>
        <v>9</v>
      </c>
      <c r="E300" s="15" t="s">
        <v>57</v>
      </c>
      <c r="F300" s="15" t="s">
        <v>38</v>
      </c>
      <c r="G300" s="15" t="s">
        <v>29</v>
      </c>
      <c r="H300" s="15" t="s">
        <v>50</v>
      </c>
      <c r="I300" s="15" t="n">
        <v>2</v>
      </c>
      <c r="J300" s="18" t="n">
        <v>699</v>
      </c>
      <c r="K300" s="18" t="n">
        <v>420</v>
      </c>
      <c r="L300" s="19" t="n">
        <f aca="false">I300*J300</f>
        <v>1398</v>
      </c>
      <c r="M300" s="19" t="n">
        <f aca="false">L300-I300*K300</f>
        <v>558</v>
      </c>
    </row>
    <row r="301" customFormat="false" ht="15" hidden="false" customHeight="false" outlineLevel="0" collapsed="false">
      <c r="A301" s="15" t="s">
        <v>343</v>
      </c>
      <c r="B301" s="16" t="n">
        <v>45496</v>
      </c>
      <c r="C301" s="17" t="n">
        <f aca="false">YEAR(B301)</f>
        <v>2024</v>
      </c>
      <c r="D301" s="17" t="n">
        <f aca="false">MONTH(B301)</f>
        <v>7</v>
      </c>
      <c r="E301" s="15" t="s">
        <v>57</v>
      </c>
      <c r="F301" s="15" t="s">
        <v>38</v>
      </c>
      <c r="G301" s="15" t="s">
        <v>35</v>
      </c>
      <c r="H301" s="15" t="s">
        <v>40</v>
      </c>
      <c r="I301" s="15" t="n">
        <v>1</v>
      </c>
      <c r="J301" s="18" t="n">
        <v>699</v>
      </c>
      <c r="K301" s="18" t="n">
        <v>420</v>
      </c>
      <c r="L301" s="19" t="n">
        <f aca="false">I301*J301</f>
        <v>699</v>
      </c>
      <c r="M301" s="19" t="n">
        <f aca="false">L301-I301*K301</f>
        <v>279</v>
      </c>
    </row>
    <row r="302" customFormat="false" ht="15" hidden="false" customHeight="false" outlineLevel="0" collapsed="false">
      <c r="A302" s="15" t="s">
        <v>344</v>
      </c>
      <c r="B302" s="16" t="n">
        <v>45501</v>
      </c>
      <c r="C302" s="17" t="n">
        <f aca="false">YEAR(B302)</f>
        <v>2024</v>
      </c>
      <c r="D302" s="17" t="n">
        <f aca="false">MONTH(B302)</f>
        <v>7</v>
      </c>
      <c r="E302" s="15" t="s">
        <v>48</v>
      </c>
      <c r="F302" s="15" t="s">
        <v>28</v>
      </c>
      <c r="G302" s="15" t="s">
        <v>29</v>
      </c>
      <c r="H302" s="15" t="s">
        <v>50</v>
      </c>
      <c r="I302" s="15" t="n">
        <v>1</v>
      </c>
      <c r="J302" s="18" t="n">
        <v>149</v>
      </c>
      <c r="K302" s="18" t="n">
        <v>60</v>
      </c>
      <c r="L302" s="19" t="n">
        <f aca="false">I302*J302</f>
        <v>149</v>
      </c>
      <c r="M302" s="19" t="n">
        <f aca="false">L302-I302*K302</f>
        <v>89</v>
      </c>
    </row>
    <row r="303" customFormat="false" ht="15" hidden="false" customHeight="false" outlineLevel="0" collapsed="false">
      <c r="A303" s="15" t="s">
        <v>345</v>
      </c>
      <c r="B303" s="16" t="n">
        <v>45826</v>
      </c>
      <c r="C303" s="17" t="n">
        <f aca="false">YEAR(B303)</f>
        <v>2025</v>
      </c>
      <c r="D303" s="17" t="n">
        <f aca="false">MONTH(B303)</f>
        <v>6</v>
      </c>
      <c r="E303" s="15" t="s">
        <v>37</v>
      </c>
      <c r="F303" s="15" t="s">
        <v>38</v>
      </c>
      <c r="G303" s="15" t="s">
        <v>39</v>
      </c>
      <c r="H303" s="15" t="s">
        <v>50</v>
      </c>
      <c r="I303" s="15" t="n">
        <v>4</v>
      </c>
      <c r="J303" s="18" t="n">
        <v>449</v>
      </c>
      <c r="K303" s="18" t="n">
        <v>260</v>
      </c>
      <c r="L303" s="19" t="n">
        <f aca="false">I303*J303</f>
        <v>1796</v>
      </c>
      <c r="M303" s="19" t="n">
        <f aca="false">L303-I303*K303</f>
        <v>756</v>
      </c>
    </row>
    <row r="304" customFormat="false" ht="15" hidden="false" customHeight="false" outlineLevel="0" collapsed="false">
      <c r="A304" s="15" t="s">
        <v>346</v>
      </c>
      <c r="B304" s="16" t="n">
        <v>45693</v>
      </c>
      <c r="C304" s="17" t="n">
        <f aca="false">YEAR(B304)</f>
        <v>2025</v>
      </c>
      <c r="D304" s="17" t="n">
        <f aca="false">MONTH(B304)</f>
        <v>2</v>
      </c>
      <c r="E304" s="15" t="s">
        <v>57</v>
      </c>
      <c r="F304" s="15" t="s">
        <v>38</v>
      </c>
      <c r="G304" s="15" t="s">
        <v>29</v>
      </c>
      <c r="H304" s="15" t="s">
        <v>40</v>
      </c>
      <c r="I304" s="15" t="n">
        <v>1</v>
      </c>
      <c r="J304" s="18" t="n">
        <v>699</v>
      </c>
      <c r="K304" s="18" t="n">
        <v>420</v>
      </c>
      <c r="L304" s="19" t="n">
        <f aca="false">I304*J304</f>
        <v>699</v>
      </c>
      <c r="M304" s="19" t="n">
        <f aca="false">L304-I304*K304</f>
        <v>279</v>
      </c>
    </row>
    <row r="305" customFormat="false" ht="15" hidden="false" customHeight="false" outlineLevel="0" collapsed="false">
      <c r="A305" s="15" t="s">
        <v>347</v>
      </c>
      <c r="B305" s="16" t="n">
        <v>45944</v>
      </c>
      <c r="C305" s="17" t="n">
        <f aca="false">YEAR(B305)</f>
        <v>2025</v>
      </c>
      <c r="D305" s="17" t="n">
        <f aca="false">MONTH(B305)</f>
        <v>10</v>
      </c>
      <c r="E305" s="15" t="s">
        <v>62</v>
      </c>
      <c r="F305" s="15" t="s">
        <v>34</v>
      </c>
      <c r="G305" s="15" t="s">
        <v>55</v>
      </c>
      <c r="H305" s="15" t="s">
        <v>30</v>
      </c>
      <c r="I305" s="15" t="n">
        <v>2</v>
      </c>
      <c r="J305" s="18" t="n">
        <v>4499</v>
      </c>
      <c r="K305" s="18" t="n">
        <v>3400</v>
      </c>
      <c r="L305" s="19" t="n">
        <f aca="false">I305*J305</f>
        <v>8998</v>
      </c>
      <c r="M305" s="19" t="n">
        <f aca="false">L305-I305*K305</f>
        <v>2198</v>
      </c>
    </row>
    <row r="306" customFormat="false" ht="15" hidden="false" customHeight="false" outlineLevel="0" collapsed="false">
      <c r="A306" s="15" t="s">
        <v>348</v>
      </c>
      <c r="B306" s="16" t="n">
        <v>45368</v>
      </c>
      <c r="C306" s="17" t="n">
        <f aca="false">YEAR(B306)</f>
        <v>2024</v>
      </c>
      <c r="D306" s="17" t="n">
        <f aca="false">MONTH(B306)</f>
        <v>3</v>
      </c>
      <c r="E306" s="15" t="s">
        <v>37</v>
      </c>
      <c r="F306" s="15" t="s">
        <v>38</v>
      </c>
      <c r="G306" s="15" t="s">
        <v>29</v>
      </c>
      <c r="H306" s="15" t="s">
        <v>50</v>
      </c>
      <c r="I306" s="15" t="n">
        <v>4</v>
      </c>
      <c r="J306" s="18" t="n">
        <v>449</v>
      </c>
      <c r="K306" s="18" t="n">
        <v>260</v>
      </c>
      <c r="L306" s="19" t="n">
        <f aca="false">I306*J306</f>
        <v>1796</v>
      </c>
      <c r="M306" s="19" t="n">
        <f aca="false">L306-I306*K306</f>
        <v>756</v>
      </c>
    </row>
    <row r="307" customFormat="false" ht="15" hidden="false" customHeight="false" outlineLevel="0" collapsed="false">
      <c r="A307" s="15" t="s">
        <v>349</v>
      </c>
      <c r="B307" s="16" t="n">
        <v>45886</v>
      </c>
      <c r="C307" s="17" t="n">
        <f aca="false">YEAR(B307)</f>
        <v>2025</v>
      </c>
      <c r="D307" s="17" t="n">
        <f aca="false">MONTH(B307)</f>
        <v>8</v>
      </c>
      <c r="E307" s="15" t="s">
        <v>37</v>
      </c>
      <c r="F307" s="15" t="s">
        <v>38</v>
      </c>
      <c r="G307" s="15" t="s">
        <v>55</v>
      </c>
      <c r="H307" s="15" t="s">
        <v>30</v>
      </c>
      <c r="I307" s="15" t="n">
        <v>2</v>
      </c>
      <c r="J307" s="18" t="n">
        <v>449</v>
      </c>
      <c r="K307" s="18" t="n">
        <v>260</v>
      </c>
      <c r="L307" s="19" t="n">
        <f aca="false">I307*J307</f>
        <v>898</v>
      </c>
      <c r="M307" s="19" t="n">
        <f aca="false">L307-I307*K307</f>
        <v>378</v>
      </c>
    </row>
    <row r="308" customFormat="false" ht="15" hidden="false" customHeight="false" outlineLevel="0" collapsed="false">
      <c r="A308" s="15" t="s">
        <v>350</v>
      </c>
      <c r="B308" s="16" t="n">
        <v>45831</v>
      </c>
      <c r="C308" s="17" t="n">
        <f aca="false">YEAR(B308)</f>
        <v>2025</v>
      </c>
      <c r="D308" s="17" t="n">
        <f aca="false">MONTH(B308)</f>
        <v>6</v>
      </c>
      <c r="E308" s="15" t="s">
        <v>27</v>
      </c>
      <c r="F308" s="15" t="s">
        <v>28</v>
      </c>
      <c r="G308" s="15" t="s">
        <v>29</v>
      </c>
      <c r="H308" s="15" t="s">
        <v>30</v>
      </c>
      <c r="I308" s="15" t="n">
        <v>4</v>
      </c>
      <c r="J308" s="18" t="n">
        <v>100</v>
      </c>
      <c r="K308" s="18" t="n">
        <v>88</v>
      </c>
      <c r="L308" s="19" t="n">
        <f aca="false">I308*J308</f>
        <v>400</v>
      </c>
      <c r="M308" s="19" t="n">
        <f aca="false">L308-I308*K308</f>
        <v>48</v>
      </c>
    </row>
    <row r="309" customFormat="false" ht="15" hidden="false" customHeight="false" outlineLevel="0" collapsed="false">
      <c r="A309" s="15" t="s">
        <v>351</v>
      </c>
      <c r="B309" s="16" t="n">
        <v>45362</v>
      </c>
      <c r="C309" s="17" t="n">
        <f aca="false">YEAR(B309)</f>
        <v>2024</v>
      </c>
      <c r="D309" s="17" t="n">
        <f aca="false">MONTH(B309)</f>
        <v>3</v>
      </c>
      <c r="E309" s="15" t="s">
        <v>48</v>
      </c>
      <c r="F309" s="15" t="s">
        <v>28</v>
      </c>
      <c r="G309" s="15" t="s">
        <v>29</v>
      </c>
      <c r="H309" s="15" t="s">
        <v>40</v>
      </c>
      <c r="I309" s="15" t="n">
        <v>2</v>
      </c>
      <c r="J309" s="18" t="n">
        <v>149</v>
      </c>
      <c r="K309" s="18" t="n">
        <v>60</v>
      </c>
      <c r="L309" s="19" t="n">
        <f aca="false">I309*J309</f>
        <v>298</v>
      </c>
      <c r="M309" s="19" t="n">
        <f aca="false">L309-I309*K309</f>
        <v>178</v>
      </c>
    </row>
    <row r="310" customFormat="false" ht="15" hidden="false" customHeight="false" outlineLevel="0" collapsed="false">
      <c r="A310" s="15" t="s">
        <v>352</v>
      </c>
      <c r="B310" s="16" t="n">
        <v>45523</v>
      </c>
      <c r="C310" s="17" t="n">
        <f aca="false">YEAR(B310)</f>
        <v>2024</v>
      </c>
      <c r="D310" s="17" t="n">
        <f aca="false">MONTH(B310)</f>
        <v>8</v>
      </c>
      <c r="E310" s="15" t="s">
        <v>48</v>
      </c>
      <c r="F310" s="15" t="s">
        <v>28</v>
      </c>
      <c r="G310" s="15" t="s">
        <v>55</v>
      </c>
      <c r="H310" s="15" t="s">
        <v>40</v>
      </c>
      <c r="I310" s="15" t="n">
        <v>2</v>
      </c>
      <c r="J310" s="18" t="n">
        <v>149</v>
      </c>
      <c r="K310" s="18" t="n">
        <v>60</v>
      </c>
      <c r="L310" s="19" t="n">
        <f aca="false">I310*J310</f>
        <v>298</v>
      </c>
      <c r="M310" s="19" t="n">
        <f aca="false">L310-I310*K310</f>
        <v>178</v>
      </c>
    </row>
    <row r="311" customFormat="false" ht="15" hidden="false" customHeight="false" outlineLevel="0" collapsed="false">
      <c r="A311" s="15" t="s">
        <v>353</v>
      </c>
      <c r="B311" s="16" t="n">
        <v>45715</v>
      </c>
      <c r="C311" s="17" t="n">
        <f aca="false">YEAR(B311)</f>
        <v>2025</v>
      </c>
      <c r="D311" s="17" t="n">
        <f aca="false">MONTH(B311)</f>
        <v>2</v>
      </c>
      <c r="E311" s="15" t="s">
        <v>37</v>
      </c>
      <c r="F311" s="15" t="s">
        <v>38</v>
      </c>
      <c r="G311" s="15" t="s">
        <v>29</v>
      </c>
      <c r="H311" s="15" t="s">
        <v>40</v>
      </c>
      <c r="I311" s="15" t="n">
        <v>3</v>
      </c>
      <c r="J311" s="18" t="n">
        <v>449</v>
      </c>
      <c r="K311" s="18" t="n">
        <v>260</v>
      </c>
      <c r="L311" s="19" t="n">
        <f aca="false">I311*J311</f>
        <v>1347</v>
      </c>
      <c r="M311" s="19" t="n">
        <f aca="false">L311-I311*K311</f>
        <v>567</v>
      </c>
    </row>
    <row r="312" customFormat="false" ht="15" hidden="false" customHeight="false" outlineLevel="0" collapsed="false">
      <c r="A312" s="15" t="s">
        <v>354</v>
      </c>
      <c r="B312" s="16" t="n">
        <v>45772</v>
      </c>
      <c r="C312" s="17" t="n">
        <f aca="false">YEAR(B312)</f>
        <v>2025</v>
      </c>
      <c r="D312" s="17" t="n">
        <f aca="false">MONTH(B312)</f>
        <v>4</v>
      </c>
      <c r="E312" s="15" t="s">
        <v>37</v>
      </c>
      <c r="F312" s="15" t="s">
        <v>38</v>
      </c>
      <c r="G312" s="15" t="s">
        <v>55</v>
      </c>
      <c r="H312" s="15" t="s">
        <v>30</v>
      </c>
      <c r="I312" s="15" t="n">
        <v>2</v>
      </c>
      <c r="J312" s="18" t="n">
        <v>449</v>
      </c>
      <c r="K312" s="18" t="n">
        <v>260</v>
      </c>
      <c r="L312" s="19" t="n">
        <f aca="false">I312*J312</f>
        <v>898</v>
      </c>
      <c r="M312" s="19" t="n">
        <f aca="false">L312-I312*K312</f>
        <v>378</v>
      </c>
    </row>
    <row r="313" customFormat="false" ht="15" hidden="false" customHeight="false" outlineLevel="0" collapsed="false">
      <c r="A313" s="15" t="s">
        <v>355</v>
      </c>
      <c r="B313" s="16" t="n">
        <v>45551</v>
      </c>
      <c r="C313" s="17" t="n">
        <f aca="false">YEAR(B313)</f>
        <v>2024</v>
      </c>
      <c r="D313" s="17" t="n">
        <f aca="false">MONTH(B313)</f>
        <v>9</v>
      </c>
      <c r="E313" s="15" t="s">
        <v>27</v>
      </c>
      <c r="F313" s="15" t="s">
        <v>28</v>
      </c>
      <c r="G313" s="15" t="s">
        <v>29</v>
      </c>
      <c r="H313" s="15" t="s">
        <v>50</v>
      </c>
      <c r="I313" s="15" t="n">
        <v>2</v>
      </c>
      <c r="J313" s="18" t="n">
        <v>100</v>
      </c>
      <c r="K313" s="18" t="n">
        <v>88</v>
      </c>
      <c r="L313" s="19" t="n">
        <f aca="false">I313*J313</f>
        <v>200</v>
      </c>
      <c r="M313" s="19" t="n">
        <f aca="false">L313-I313*K313</f>
        <v>24</v>
      </c>
    </row>
    <row r="314" customFormat="false" ht="15" hidden="false" customHeight="false" outlineLevel="0" collapsed="false">
      <c r="A314" s="15" t="s">
        <v>356</v>
      </c>
      <c r="B314" s="16" t="n">
        <v>45579</v>
      </c>
      <c r="C314" s="17" t="n">
        <f aca="false">YEAR(B314)</f>
        <v>2024</v>
      </c>
      <c r="D314" s="17" t="n">
        <f aca="false">MONTH(B314)</f>
        <v>10</v>
      </c>
      <c r="E314" s="15" t="s">
        <v>37</v>
      </c>
      <c r="F314" s="15" t="s">
        <v>38</v>
      </c>
      <c r="G314" s="15" t="s">
        <v>55</v>
      </c>
      <c r="H314" s="15" t="s">
        <v>40</v>
      </c>
      <c r="I314" s="15" t="n">
        <v>3</v>
      </c>
      <c r="J314" s="18" t="n">
        <v>449</v>
      </c>
      <c r="K314" s="18" t="n">
        <v>260</v>
      </c>
      <c r="L314" s="19" t="n">
        <f aca="false">I314*J314</f>
        <v>1347</v>
      </c>
      <c r="M314" s="19" t="n">
        <f aca="false">L314-I314*K314</f>
        <v>567</v>
      </c>
    </row>
    <row r="315" customFormat="false" ht="15" hidden="false" customHeight="false" outlineLevel="0" collapsed="false">
      <c r="A315" s="15" t="s">
        <v>357</v>
      </c>
      <c r="B315" s="16" t="n">
        <v>45930</v>
      </c>
      <c r="C315" s="17" t="n">
        <f aca="false">YEAR(B315)</f>
        <v>2025</v>
      </c>
      <c r="D315" s="17" t="n">
        <f aca="false">MONTH(B315)</f>
        <v>9</v>
      </c>
      <c r="E315" s="15" t="s">
        <v>48</v>
      </c>
      <c r="F315" s="15" t="s">
        <v>28</v>
      </c>
      <c r="G315" s="15" t="s">
        <v>39</v>
      </c>
      <c r="H315" s="15" t="s">
        <v>30</v>
      </c>
      <c r="I315" s="15" t="n">
        <v>3</v>
      </c>
      <c r="J315" s="18" t="n">
        <v>149</v>
      </c>
      <c r="K315" s="18" t="n">
        <v>60</v>
      </c>
      <c r="L315" s="19" t="n">
        <f aca="false">I315*J315</f>
        <v>447</v>
      </c>
      <c r="M315" s="19" t="n">
        <f aca="false">L315-I315*K315</f>
        <v>267</v>
      </c>
    </row>
    <row r="316" customFormat="false" ht="15" hidden="false" customHeight="false" outlineLevel="0" collapsed="false">
      <c r="A316" s="15" t="s">
        <v>358</v>
      </c>
      <c r="B316" s="16" t="n">
        <v>45686</v>
      </c>
      <c r="C316" s="17" t="n">
        <f aca="false">YEAR(B316)</f>
        <v>2025</v>
      </c>
      <c r="D316" s="17" t="n">
        <f aca="false">MONTH(B316)</f>
        <v>1</v>
      </c>
      <c r="E316" s="15" t="s">
        <v>62</v>
      </c>
      <c r="F316" s="15" t="s">
        <v>34</v>
      </c>
      <c r="G316" s="15" t="s">
        <v>29</v>
      </c>
      <c r="H316" s="15" t="s">
        <v>30</v>
      </c>
      <c r="I316" s="15" t="n">
        <v>2</v>
      </c>
      <c r="J316" s="18" t="n">
        <v>4499</v>
      </c>
      <c r="K316" s="18" t="n">
        <v>3400</v>
      </c>
      <c r="L316" s="19" t="n">
        <f aca="false">I316*J316</f>
        <v>8998</v>
      </c>
      <c r="M316" s="19" t="n">
        <f aca="false">L316-I316*K316</f>
        <v>2198</v>
      </c>
    </row>
    <row r="317" customFormat="false" ht="15" hidden="false" customHeight="false" outlineLevel="0" collapsed="false">
      <c r="A317" s="15" t="s">
        <v>359</v>
      </c>
      <c r="B317" s="16" t="n">
        <v>45645</v>
      </c>
      <c r="C317" s="17" t="n">
        <f aca="false">YEAR(B317)</f>
        <v>2024</v>
      </c>
      <c r="D317" s="17" t="n">
        <f aca="false">MONTH(B317)</f>
        <v>12</v>
      </c>
      <c r="E317" s="15" t="s">
        <v>48</v>
      </c>
      <c r="F317" s="15" t="s">
        <v>28</v>
      </c>
      <c r="G317" s="15" t="s">
        <v>29</v>
      </c>
      <c r="H317" s="15" t="s">
        <v>30</v>
      </c>
      <c r="I317" s="15" t="n">
        <v>1</v>
      </c>
      <c r="J317" s="18" t="n">
        <v>149</v>
      </c>
      <c r="K317" s="18" t="n">
        <v>60</v>
      </c>
      <c r="L317" s="19" t="n">
        <f aca="false">I317*J317</f>
        <v>149</v>
      </c>
      <c r="M317" s="19" t="n">
        <f aca="false">L317-I317*K317</f>
        <v>89</v>
      </c>
    </row>
    <row r="318" customFormat="false" ht="15" hidden="false" customHeight="false" outlineLevel="0" collapsed="false">
      <c r="A318" s="15" t="s">
        <v>360</v>
      </c>
      <c r="B318" s="16" t="n">
        <v>45365</v>
      </c>
      <c r="C318" s="17" t="n">
        <f aca="false">YEAR(B318)</f>
        <v>2024</v>
      </c>
      <c r="D318" s="17" t="n">
        <f aca="false">MONTH(B318)</f>
        <v>3</v>
      </c>
      <c r="E318" s="15" t="s">
        <v>48</v>
      </c>
      <c r="F318" s="15" t="s">
        <v>28</v>
      </c>
      <c r="G318" s="15" t="s">
        <v>29</v>
      </c>
      <c r="H318" s="15" t="s">
        <v>40</v>
      </c>
      <c r="I318" s="15" t="n">
        <v>3</v>
      </c>
      <c r="J318" s="18" t="n">
        <v>149</v>
      </c>
      <c r="K318" s="18" t="n">
        <v>60</v>
      </c>
      <c r="L318" s="19" t="n">
        <f aca="false">I318*J318</f>
        <v>447</v>
      </c>
      <c r="M318" s="19" t="n">
        <f aca="false">L318-I318*K318</f>
        <v>267</v>
      </c>
    </row>
    <row r="319" customFormat="false" ht="15" hidden="false" customHeight="false" outlineLevel="0" collapsed="false">
      <c r="A319" s="15" t="s">
        <v>361</v>
      </c>
      <c r="B319" s="16" t="n">
        <v>45531</v>
      </c>
      <c r="C319" s="17" t="n">
        <f aca="false">YEAR(B319)</f>
        <v>2024</v>
      </c>
      <c r="D319" s="17" t="n">
        <f aca="false">MONTH(B319)</f>
        <v>8</v>
      </c>
      <c r="E319" s="15" t="s">
        <v>33</v>
      </c>
      <c r="F319" s="15" t="s">
        <v>34</v>
      </c>
      <c r="G319" s="15" t="s">
        <v>55</v>
      </c>
      <c r="H319" s="15" t="s">
        <v>30</v>
      </c>
      <c r="I319" s="15" t="n">
        <v>2</v>
      </c>
      <c r="J319" s="18" t="n">
        <v>2799</v>
      </c>
      <c r="K319" s="18" t="n">
        <v>2100</v>
      </c>
      <c r="L319" s="19" t="n">
        <f aca="false">I319*J319</f>
        <v>5598</v>
      </c>
      <c r="M319" s="19" t="n">
        <f aca="false">L319-I319*K319</f>
        <v>1398</v>
      </c>
    </row>
    <row r="320" customFormat="false" ht="15" hidden="false" customHeight="false" outlineLevel="0" collapsed="false">
      <c r="A320" s="15" t="s">
        <v>362</v>
      </c>
      <c r="B320" s="16" t="n">
        <v>45704</v>
      </c>
      <c r="C320" s="17" t="n">
        <f aca="false">YEAR(B320)</f>
        <v>2025</v>
      </c>
      <c r="D320" s="17" t="n">
        <f aca="false">MONTH(B320)</f>
        <v>2</v>
      </c>
      <c r="E320" s="15" t="s">
        <v>48</v>
      </c>
      <c r="F320" s="15" t="s">
        <v>28</v>
      </c>
      <c r="G320" s="15" t="s">
        <v>29</v>
      </c>
      <c r="H320" s="15" t="s">
        <v>50</v>
      </c>
      <c r="I320" s="15" t="n">
        <v>2</v>
      </c>
      <c r="J320" s="18" t="n">
        <v>149</v>
      </c>
      <c r="K320" s="18" t="n">
        <v>60</v>
      </c>
      <c r="L320" s="19" t="n">
        <f aca="false">I320*J320</f>
        <v>298</v>
      </c>
      <c r="M320" s="19" t="n">
        <f aca="false">L320-I320*K320</f>
        <v>178</v>
      </c>
    </row>
    <row r="321" customFormat="false" ht="15" hidden="false" customHeight="false" outlineLevel="0" collapsed="false">
      <c r="A321" s="15" t="s">
        <v>363</v>
      </c>
      <c r="B321" s="16" t="n">
        <v>45384</v>
      </c>
      <c r="C321" s="17" t="n">
        <f aca="false">YEAR(B321)</f>
        <v>2024</v>
      </c>
      <c r="D321" s="17" t="n">
        <f aca="false">MONTH(B321)</f>
        <v>4</v>
      </c>
      <c r="E321" s="15" t="s">
        <v>48</v>
      </c>
      <c r="F321" s="15" t="s">
        <v>28</v>
      </c>
      <c r="G321" s="15" t="s">
        <v>39</v>
      </c>
      <c r="H321" s="15" t="s">
        <v>50</v>
      </c>
      <c r="I321" s="15" t="n">
        <v>3</v>
      </c>
      <c r="J321" s="18" t="n">
        <v>149</v>
      </c>
      <c r="K321" s="18" t="n">
        <v>60</v>
      </c>
      <c r="L321" s="19" t="n">
        <f aca="false">I321*J321</f>
        <v>447</v>
      </c>
      <c r="M321" s="19" t="n">
        <f aca="false">L321-I321*K321</f>
        <v>267</v>
      </c>
    </row>
    <row r="322" customFormat="false" ht="15" hidden="false" customHeight="false" outlineLevel="0" collapsed="false">
      <c r="A322" s="15" t="s">
        <v>364</v>
      </c>
      <c r="B322" s="16" t="n">
        <v>45835</v>
      </c>
      <c r="C322" s="17" t="n">
        <f aca="false">YEAR(B322)</f>
        <v>2025</v>
      </c>
      <c r="D322" s="17" t="n">
        <f aca="false">MONTH(B322)</f>
        <v>6</v>
      </c>
      <c r="E322" s="15" t="s">
        <v>33</v>
      </c>
      <c r="F322" s="15" t="s">
        <v>34</v>
      </c>
      <c r="G322" s="15" t="s">
        <v>29</v>
      </c>
      <c r="H322" s="15" t="s">
        <v>30</v>
      </c>
      <c r="I322" s="15" t="n">
        <v>2</v>
      </c>
      <c r="J322" s="18" t="n">
        <v>2799</v>
      </c>
      <c r="K322" s="18" t="n">
        <v>2100</v>
      </c>
      <c r="L322" s="19" t="n">
        <f aca="false">I322*J322</f>
        <v>5598</v>
      </c>
      <c r="M322" s="19" t="n">
        <f aca="false">L322-I322*K322</f>
        <v>1398</v>
      </c>
    </row>
    <row r="323" customFormat="false" ht="15" hidden="false" customHeight="false" outlineLevel="0" collapsed="false">
      <c r="A323" s="15" t="s">
        <v>365</v>
      </c>
      <c r="B323" s="16" t="n">
        <v>45413</v>
      </c>
      <c r="C323" s="17" t="n">
        <f aca="false">YEAR(B323)</f>
        <v>2024</v>
      </c>
      <c r="D323" s="17" t="n">
        <f aca="false">MONTH(B323)</f>
        <v>5</v>
      </c>
      <c r="E323" s="15" t="s">
        <v>37</v>
      </c>
      <c r="F323" s="15" t="s">
        <v>38</v>
      </c>
      <c r="G323" s="15" t="s">
        <v>35</v>
      </c>
      <c r="H323" s="15" t="s">
        <v>40</v>
      </c>
      <c r="I323" s="15" t="n">
        <v>2</v>
      </c>
      <c r="J323" s="18" t="n">
        <v>449</v>
      </c>
      <c r="K323" s="18" t="n">
        <v>260</v>
      </c>
      <c r="L323" s="19" t="n">
        <f aca="false">I323*J323</f>
        <v>898</v>
      </c>
      <c r="M323" s="19" t="n">
        <f aca="false">L323-I323*K323</f>
        <v>378</v>
      </c>
    </row>
    <row r="324" customFormat="false" ht="15" hidden="false" customHeight="false" outlineLevel="0" collapsed="false">
      <c r="A324" s="15" t="s">
        <v>366</v>
      </c>
      <c r="B324" s="16" t="n">
        <v>45862</v>
      </c>
      <c r="C324" s="17" t="n">
        <f aca="false">YEAR(B324)</f>
        <v>2025</v>
      </c>
      <c r="D324" s="17" t="n">
        <f aca="false">MONTH(B324)</f>
        <v>7</v>
      </c>
      <c r="E324" s="15" t="s">
        <v>62</v>
      </c>
      <c r="F324" s="15" t="s">
        <v>34</v>
      </c>
      <c r="G324" s="15" t="s">
        <v>35</v>
      </c>
      <c r="H324" s="15" t="s">
        <v>50</v>
      </c>
      <c r="I324" s="15" t="n">
        <v>2</v>
      </c>
      <c r="J324" s="18" t="n">
        <v>4499</v>
      </c>
      <c r="K324" s="18" t="n">
        <v>3400</v>
      </c>
      <c r="L324" s="19" t="n">
        <f aca="false">I324*J324</f>
        <v>8998</v>
      </c>
      <c r="M324" s="19" t="n">
        <f aca="false">L324-I324*K324</f>
        <v>2198</v>
      </c>
    </row>
    <row r="325" customFormat="false" ht="15" hidden="false" customHeight="false" outlineLevel="0" collapsed="false">
      <c r="A325" s="15" t="s">
        <v>367</v>
      </c>
      <c r="B325" s="16" t="n">
        <v>45544</v>
      </c>
      <c r="C325" s="17" t="n">
        <f aca="false">YEAR(B325)</f>
        <v>2024</v>
      </c>
      <c r="D325" s="17" t="n">
        <f aca="false">MONTH(B325)</f>
        <v>9</v>
      </c>
      <c r="E325" s="15" t="s">
        <v>37</v>
      </c>
      <c r="F325" s="15" t="s">
        <v>38</v>
      </c>
      <c r="G325" s="15" t="s">
        <v>39</v>
      </c>
      <c r="H325" s="15" t="s">
        <v>30</v>
      </c>
      <c r="I325" s="15" t="n">
        <v>1</v>
      </c>
      <c r="J325" s="18" t="n">
        <v>449</v>
      </c>
      <c r="K325" s="18" t="n">
        <v>260</v>
      </c>
      <c r="L325" s="19" t="n">
        <f aca="false">I325*J325</f>
        <v>449</v>
      </c>
      <c r="M325" s="19" t="n">
        <f aca="false">L325-I325*K325</f>
        <v>189</v>
      </c>
    </row>
    <row r="326" customFormat="false" ht="15" hidden="false" customHeight="false" outlineLevel="0" collapsed="false">
      <c r="A326" s="15" t="s">
        <v>368</v>
      </c>
      <c r="B326" s="16" t="n">
        <v>46004</v>
      </c>
      <c r="C326" s="17" t="n">
        <f aca="false">YEAR(B326)</f>
        <v>2025</v>
      </c>
      <c r="D326" s="17" t="n">
        <f aca="false">MONTH(B326)</f>
        <v>12</v>
      </c>
      <c r="E326" s="15" t="s">
        <v>57</v>
      </c>
      <c r="F326" s="15" t="s">
        <v>38</v>
      </c>
      <c r="G326" s="15" t="s">
        <v>35</v>
      </c>
      <c r="H326" s="15" t="s">
        <v>30</v>
      </c>
      <c r="I326" s="15" t="n">
        <v>3</v>
      </c>
      <c r="J326" s="18" t="n">
        <v>699</v>
      </c>
      <c r="K326" s="18" t="n">
        <v>420</v>
      </c>
      <c r="L326" s="19" t="n">
        <f aca="false">I326*J326</f>
        <v>2097</v>
      </c>
      <c r="M326" s="19" t="n">
        <f aca="false">L326-I326*K326</f>
        <v>837</v>
      </c>
    </row>
    <row r="327" customFormat="false" ht="15" hidden="false" customHeight="false" outlineLevel="0" collapsed="false">
      <c r="A327" s="15" t="s">
        <v>369</v>
      </c>
      <c r="B327" s="16" t="n">
        <v>45720</v>
      </c>
      <c r="C327" s="17" t="n">
        <f aca="false">YEAR(B327)</f>
        <v>2025</v>
      </c>
      <c r="D327" s="17" t="n">
        <f aca="false">MONTH(B327)</f>
        <v>3</v>
      </c>
      <c r="E327" s="15" t="s">
        <v>27</v>
      </c>
      <c r="F327" s="15" t="s">
        <v>28</v>
      </c>
      <c r="G327" s="15" t="s">
        <v>39</v>
      </c>
      <c r="H327" s="15" t="s">
        <v>30</v>
      </c>
      <c r="I327" s="15" t="n">
        <v>1</v>
      </c>
      <c r="J327" s="18" t="n">
        <v>100</v>
      </c>
      <c r="K327" s="18" t="n">
        <v>88</v>
      </c>
      <c r="L327" s="19" t="n">
        <f aca="false">I327*J327</f>
        <v>100</v>
      </c>
      <c r="M327" s="19" t="n">
        <f aca="false">L327-I327*K327</f>
        <v>12</v>
      </c>
    </row>
    <row r="328" customFormat="false" ht="15" hidden="false" customHeight="false" outlineLevel="0" collapsed="false">
      <c r="A328" s="15" t="s">
        <v>370</v>
      </c>
      <c r="B328" s="16" t="n">
        <v>45954</v>
      </c>
      <c r="C328" s="17" t="n">
        <f aca="false">YEAR(B328)</f>
        <v>2025</v>
      </c>
      <c r="D328" s="17" t="n">
        <f aca="false">MONTH(B328)</f>
        <v>10</v>
      </c>
      <c r="E328" s="15" t="s">
        <v>62</v>
      </c>
      <c r="F328" s="15" t="s">
        <v>34</v>
      </c>
      <c r="G328" s="15" t="s">
        <v>29</v>
      </c>
      <c r="H328" s="15" t="s">
        <v>50</v>
      </c>
      <c r="I328" s="15" t="n">
        <v>1</v>
      </c>
      <c r="J328" s="18" t="n">
        <v>4499</v>
      </c>
      <c r="K328" s="18" t="n">
        <v>3400</v>
      </c>
      <c r="L328" s="19" t="n">
        <f aca="false">I328*J328</f>
        <v>4499</v>
      </c>
      <c r="M328" s="19" t="n">
        <f aca="false">L328-I328*K328</f>
        <v>1099</v>
      </c>
    </row>
    <row r="329" customFormat="false" ht="15" hidden="false" customHeight="false" outlineLevel="0" collapsed="false">
      <c r="A329" s="15" t="s">
        <v>371</v>
      </c>
      <c r="B329" s="16" t="n">
        <v>45630</v>
      </c>
      <c r="C329" s="17" t="n">
        <f aca="false">YEAR(B329)</f>
        <v>2024</v>
      </c>
      <c r="D329" s="17" t="n">
        <f aca="false">MONTH(B329)</f>
        <v>12</v>
      </c>
      <c r="E329" s="15" t="s">
        <v>48</v>
      </c>
      <c r="F329" s="15" t="s">
        <v>28</v>
      </c>
      <c r="G329" s="15" t="s">
        <v>29</v>
      </c>
      <c r="H329" s="15" t="s">
        <v>40</v>
      </c>
      <c r="I329" s="15" t="n">
        <v>1</v>
      </c>
      <c r="J329" s="18" t="n">
        <v>149</v>
      </c>
      <c r="K329" s="18" t="n">
        <v>60</v>
      </c>
      <c r="L329" s="19" t="n">
        <f aca="false">I329*J329</f>
        <v>149</v>
      </c>
      <c r="M329" s="19" t="n">
        <f aca="false">L329-I329*K329</f>
        <v>89</v>
      </c>
    </row>
    <row r="330" customFormat="false" ht="15" hidden="false" customHeight="false" outlineLevel="0" collapsed="false">
      <c r="A330" s="15" t="s">
        <v>372</v>
      </c>
      <c r="B330" s="16" t="n">
        <v>45439</v>
      </c>
      <c r="C330" s="17" t="n">
        <f aca="false">YEAR(B330)</f>
        <v>2024</v>
      </c>
      <c r="D330" s="17" t="n">
        <f aca="false">MONTH(B330)</f>
        <v>5</v>
      </c>
      <c r="E330" s="15" t="s">
        <v>62</v>
      </c>
      <c r="F330" s="15" t="s">
        <v>34</v>
      </c>
      <c r="G330" s="15" t="s">
        <v>29</v>
      </c>
      <c r="H330" s="15" t="s">
        <v>30</v>
      </c>
      <c r="I330" s="15" t="n">
        <v>2</v>
      </c>
      <c r="J330" s="18" t="n">
        <v>4499</v>
      </c>
      <c r="K330" s="18" t="n">
        <v>3400</v>
      </c>
      <c r="L330" s="19" t="n">
        <f aca="false">I330*J330</f>
        <v>8998</v>
      </c>
      <c r="M330" s="19" t="n">
        <f aca="false">L330-I330*K330</f>
        <v>2198</v>
      </c>
    </row>
    <row r="331" customFormat="false" ht="15" hidden="false" customHeight="false" outlineLevel="0" collapsed="false">
      <c r="A331" s="15" t="s">
        <v>373</v>
      </c>
      <c r="B331" s="16" t="n">
        <v>45966</v>
      </c>
      <c r="C331" s="17" t="n">
        <f aca="false">YEAR(B331)</f>
        <v>2025</v>
      </c>
      <c r="D331" s="17" t="n">
        <f aca="false">MONTH(B331)</f>
        <v>11</v>
      </c>
      <c r="E331" s="15" t="s">
        <v>37</v>
      </c>
      <c r="F331" s="15" t="s">
        <v>38</v>
      </c>
      <c r="G331" s="15" t="s">
        <v>29</v>
      </c>
      <c r="H331" s="15" t="s">
        <v>40</v>
      </c>
      <c r="I331" s="15" t="n">
        <v>4</v>
      </c>
      <c r="J331" s="18" t="n">
        <v>449</v>
      </c>
      <c r="K331" s="18" t="n">
        <v>260</v>
      </c>
      <c r="L331" s="19" t="n">
        <f aca="false">I331*J331</f>
        <v>1796</v>
      </c>
      <c r="M331" s="19" t="n">
        <f aca="false">L331-I331*K331</f>
        <v>756</v>
      </c>
    </row>
    <row r="332" customFormat="false" ht="15" hidden="false" customHeight="false" outlineLevel="0" collapsed="false">
      <c r="A332" s="15" t="s">
        <v>374</v>
      </c>
      <c r="B332" s="16" t="n">
        <v>45507</v>
      </c>
      <c r="C332" s="17" t="n">
        <f aca="false">YEAR(B332)</f>
        <v>2024</v>
      </c>
      <c r="D332" s="17" t="n">
        <f aca="false">MONTH(B332)</f>
        <v>8</v>
      </c>
      <c r="E332" s="15" t="s">
        <v>37</v>
      </c>
      <c r="F332" s="15" t="s">
        <v>38</v>
      </c>
      <c r="G332" s="15" t="s">
        <v>29</v>
      </c>
      <c r="H332" s="15" t="s">
        <v>40</v>
      </c>
      <c r="I332" s="15" t="n">
        <v>3</v>
      </c>
      <c r="J332" s="18" t="n">
        <v>449</v>
      </c>
      <c r="K332" s="18" t="n">
        <v>260</v>
      </c>
      <c r="L332" s="19" t="n">
        <f aca="false">I332*J332</f>
        <v>1347</v>
      </c>
      <c r="M332" s="19" t="n">
        <f aca="false">L332-I332*K332</f>
        <v>567</v>
      </c>
    </row>
    <row r="333" customFormat="false" ht="15" hidden="false" customHeight="false" outlineLevel="0" collapsed="false">
      <c r="A333" s="15" t="s">
        <v>375</v>
      </c>
      <c r="B333" s="16" t="n">
        <v>45588</v>
      </c>
      <c r="C333" s="17" t="n">
        <f aca="false">YEAR(B333)</f>
        <v>2024</v>
      </c>
      <c r="D333" s="17" t="n">
        <f aca="false">MONTH(B333)</f>
        <v>10</v>
      </c>
      <c r="E333" s="15" t="s">
        <v>37</v>
      </c>
      <c r="F333" s="15" t="s">
        <v>38</v>
      </c>
      <c r="G333" s="15" t="s">
        <v>29</v>
      </c>
      <c r="H333" s="15" t="s">
        <v>40</v>
      </c>
      <c r="I333" s="15" t="n">
        <v>4</v>
      </c>
      <c r="J333" s="18" t="n">
        <v>449</v>
      </c>
      <c r="K333" s="18" t="n">
        <v>260</v>
      </c>
      <c r="L333" s="19" t="n">
        <f aca="false">I333*J333</f>
        <v>1796</v>
      </c>
      <c r="M333" s="19" t="n">
        <f aca="false">L333-I333*K333</f>
        <v>756</v>
      </c>
    </row>
    <row r="334" customFormat="false" ht="15" hidden="false" customHeight="false" outlineLevel="0" collapsed="false">
      <c r="A334" s="15" t="s">
        <v>376</v>
      </c>
      <c r="B334" s="16" t="n">
        <v>45570</v>
      </c>
      <c r="C334" s="17" t="n">
        <f aca="false">YEAR(B334)</f>
        <v>2024</v>
      </c>
      <c r="D334" s="17" t="n">
        <f aca="false">MONTH(B334)</f>
        <v>10</v>
      </c>
      <c r="E334" s="15" t="s">
        <v>27</v>
      </c>
      <c r="F334" s="15" t="s">
        <v>28</v>
      </c>
      <c r="G334" s="15" t="s">
        <v>35</v>
      </c>
      <c r="H334" s="15" t="s">
        <v>40</v>
      </c>
      <c r="I334" s="15" t="n">
        <v>3</v>
      </c>
      <c r="J334" s="18" t="n">
        <v>100</v>
      </c>
      <c r="K334" s="18" t="n">
        <v>88</v>
      </c>
      <c r="L334" s="19" t="n">
        <f aca="false">I334*J334</f>
        <v>300</v>
      </c>
      <c r="M334" s="19" t="n">
        <f aca="false">L334-I334*K334</f>
        <v>36</v>
      </c>
    </row>
    <row r="335" customFormat="false" ht="15" hidden="false" customHeight="false" outlineLevel="0" collapsed="false">
      <c r="A335" s="15" t="s">
        <v>377</v>
      </c>
      <c r="B335" s="16" t="n">
        <v>45412</v>
      </c>
      <c r="C335" s="17" t="n">
        <f aca="false">YEAR(B335)</f>
        <v>2024</v>
      </c>
      <c r="D335" s="17" t="n">
        <f aca="false">MONTH(B335)</f>
        <v>4</v>
      </c>
      <c r="E335" s="15" t="s">
        <v>37</v>
      </c>
      <c r="F335" s="15" t="s">
        <v>38</v>
      </c>
      <c r="G335" s="15" t="s">
        <v>29</v>
      </c>
      <c r="H335" s="15" t="s">
        <v>30</v>
      </c>
      <c r="I335" s="15" t="n">
        <v>3</v>
      </c>
      <c r="J335" s="18" t="n">
        <v>449</v>
      </c>
      <c r="K335" s="18" t="n">
        <v>260</v>
      </c>
      <c r="L335" s="19" t="n">
        <f aca="false">I335*J335</f>
        <v>1347</v>
      </c>
      <c r="M335" s="19" t="n">
        <f aca="false">L335-I335*K335</f>
        <v>567</v>
      </c>
    </row>
    <row r="336" customFormat="false" ht="15" hidden="false" customHeight="false" outlineLevel="0" collapsed="false">
      <c r="A336" s="15" t="s">
        <v>378</v>
      </c>
      <c r="B336" s="16" t="n">
        <v>45942</v>
      </c>
      <c r="C336" s="17" t="n">
        <f aca="false">YEAR(B336)</f>
        <v>2025</v>
      </c>
      <c r="D336" s="17" t="n">
        <f aca="false">MONTH(B336)</f>
        <v>10</v>
      </c>
      <c r="E336" s="15" t="s">
        <v>33</v>
      </c>
      <c r="F336" s="15" t="s">
        <v>34</v>
      </c>
      <c r="G336" s="15" t="s">
        <v>55</v>
      </c>
      <c r="H336" s="15" t="s">
        <v>40</v>
      </c>
      <c r="I336" s="15" t="n">
        <v>1</v>
      </c>
      <c r="J336" s="18" t="n">
        <v>2799</v>
      </c>
      <c r="K336" s="18" t="n">
        <v>2100</v>
      </c>
      <c r="L336" s="19" t="n">
        <f aca="false">I336*J336</f>
        <v>2799</v>
      </c>
      <c r="M336" s="19" t="n">
        <f aca="false">L336-I336*K336</f>
        <v>699</v>
      </c>
    </row>
    <row r="337" customFormat="false" ht="15" hidden="false" customHeight="false" outlineLevel="0" collapsed="false">
      <c r="A337" s="15" t="s">
        <v>379</v>
      </c>
      <c r="B337" s="16" t="n">
        <v>45707</v>
      </c>
      <c r="C337" s="17" t="n">
        <f aca="false">YEAR(B337)</f>
        <v>2025</v>
      </c>
      <c r="D337" s="17" t="n">
        <f aca="false">MONTH(B337)</f>
        <v>2</v>
      </c>
      <c r="E337" s="15" t="s">
        <v>57</v>
      </c>
      <c r="F337" s="15" t="s">
        <v>38</v>
      </c>
      <c r="G337" s="15" t="s">
        <v>55</v>
      </c>
      <c r="H337" s="15" t="s">
        <v>30</v>
      </c>
      <c r="I337" s="15" t="n">
        <v>1</v>
      </c>
      <c r="J337" s="18" t="n">
        <v>699</v>
      </c>
      <c r="K337" s="18" t="n">
        <v>420</v>
      </c>
      <c r="L337" s="19" t="n">
        <f aca="false">I337*J337</f>
        <v>699</v>
      </c>
      <c r="M337" s="19" t="n">
        <f aca="false">L337-I337*K337</f>
        <v>279</v>
      </c>
    </row>
    <row r="338" customFormat="false" ht="15" hidden="false" customHeight="false" outlineLevel="0" collapsed="false">
      <c r="A338" s="15" t="s">
        <v>380</v>
      </c>
      <c r="B338" s="16" t="n">
        <v>45339</v>
      </c>
      <c r="C338" s="17" t="n">
        <f aca="false">YEAR(B338)</f>
        <v>2024</v>
      </c>
      <c r="D338" s="17" t="n">
        <f aca="false">MONTH(B338)</f>
        <v>2</v>
      </c>
      <c r="E338" s="15" t="s">
        <v>33</v>
      </c>
      <c r="F338" s="15" t="s">
        <v>34</v>
      </c>
      <c r="G338" s="15" t="s">
        <v>29</v>
      </c>
      <c r="H338" s="15" t="s">
        <v>40</v>
      </c>
      <c r="I338" s="15" t="n">
        <v>2</v>
      </c>
      <c r="J338" s="18" t="n">
        <v>2799</v>
      </c>
      <c r="K338" s="18" t="n">
        <v>2100</v>
      </c>
      <c r="L338" s="19" t="n">
        <f aca="false">I338*J338</f>
        <v>5598</v>
      </c>
      <c r="M338" s="19" t="n">
        <f aca="false">L338-I338*K338</f>
        <v>1398</v>
      </c>
    </row>
    <row r="339" customFormat="false" ht="15" hidden="false" customHeight="false" outlineLevel="0" collapsed="false">
      <c r="A339" s="15" t="s">
        <v>381</v>
      </c>
      <c r="B339" s="16" t="n">
        <v>45804</v>
      </c>
      <c r="C339" s="17" t="n">
        <f aca="false">YEAR(B339)</f>
        <v>2025</v>
      </c>
      <c r="D339" s="17" t="n">
        <f aca="false">MONTH(B339)</f>
        <v>5</v>
      </c>
      <c r="E339" s="15" t="s">
        <v>27</v>
      </c>
      <c r="F339" s="15" t="s">
        <v>28</v>
      </c>
      <c r="G339" s="15" t="s">
        <v>29</v>
      </c>
      <c r="H339" s="15" t="s">
        <v>40</v>
      </c>
      <c r="I339" s="15" t="n">
        <v>4</v>
      </c>
      <c r="J339" s="18" t="n">
        <v>100</v>
      </c>
      <c r="K339" s="18" t="n">
        <v>88</v>
      </c>
      <c r="L339" s="19" t="n">
        <f aca="false">I339*J339</f>
        <v>400</v>
      </c>
      <c r="M339" s="19" t="n">
        <f aca="false">L339-I339*K339</f>
        <v>48</v>
      </c>
    </row>
    <row r="340" customFormat="false" ht="15" hidden="false" customHeight="false" outlineLevel="0" collapsed="false">
      <c r="A340" s="15" t="s">
        <v>382</v>
      </c>
      <c r="B340" s="16" t="n">
        <v>46005</v>
      </c>
      <c r="C340" s="17" t="n">
        <f aca="false">YEAR(B340)</f>
        <v>2025</v>
      </c>
      <c r="D340" s="17" t="n">
        <f aca="false">MONTH(B340)</f>
        <v>12</v>
      </c>
      <c r="E340" s="15" t="s">
        <v>48</v>
      </c>
      <c r="F340" s="15" t="s">
        <v>28</v>
      </c>
      <c r="G340" s="15" t="s">
        <v>39</v>
      </c>
      <c r="H340" s="15" t="s">
        <v>50</v>
      </c>
      <c r="I340" s="15" t="n">
        <v>1</v>
      </c>
      <c r="J340" s="18" t="n">
        <v>149</v>
      </c>
      <c r="K340" s="18" t="n">
        <v>60</v>
      </c>
      <c r="L340" s="19" t="n">
        <f aca="false">I340*J340</f>
        <v>149</v>
      </c>
      <c r="M340" s="19" t="n">
        <f aca="false">L340-I340*K340</f>
        <v>89</v>
      </c>
    </row>
    <row r="341" customFormat="false" ht="15" hidden="false" customHeight="false" outlineLevel="0" collapsed="false">
      <c r="A341" s="15" t="s">
        <v>383</v>
      </c>
      <c r="B341" s="16" t="n">
        <v>45760</v>
      </c>
      <c r="C341" s="17" t="n">
        <f aca="false">YEAR(B341)</f>
        <v>2025</v>
      </c>
      <c r="D341" s="17" t="n">
        <f aca="false">MONTH(B341)</f>
        <v>4</v>
      </c>
      <c r="E341" s="15" t="s">
        <v>48</v>
      </c>
      <c r="F341" s="15" t="s">
        <v>28</v>
      </c>
      <c r="G341" s="15" t="s">
        <v>39</v>
      </c>
      <c r="H341" s="15" t="s">
        <v>30</v>
      </c>
      <c r="I341" s="15" t="n">
        <v>2</v>
      </c>
      <c r="J341" s="18" t="n">
        <v>149</v>
      </c>
      <c r="K341" s="18" t="n">
        <v>60</v>
      </c>
      <c r="L341" s="19" t="n">
        <f aca="false">I341*J341</f>
        <v>298</v>
      </c>
      <c r="M341" s="19" t="n">
        <f aca="false">L341-I341*K341</f>
        <v>178</v>
      </c>
    </row>
    <row r="342" customFormat="false" ht="15" hidden="false" customHeight="false" outlineLevel="0" collapsed="false">
      <c r="A342" s="15" t="s">
        <v>384</v>
      </c>
      <c r="B342" s="16" t="n">
        <v>45329</v>
      </c>
      <c r="C342" s="17" t="n">
        <f aca="false">YEAR(B342)</f>
        <v>2024</v>
      </c>
      <c r="D342" s="17" t="n">
        <f aca="false">MONTH(B342)</f>
        <v>2</v>
      </c>
      <c r="E342" s="15" t="s">
        <v>37</v>
      </c>
      <c r="F342" s="15" t="s">
        <v>38</v>
      </c>
      <c r="G342" s="15" t="s">
        <v>35</v>
      </c>
      <c r="H342" s="15" t="s">
        <v>40</v>
      </c>
      <c r="I342" s="15" t="n">
        <v>1</v>
      </c>
      <c r="J342" s="18" t="n">
        <v>449</v>
      </c>
      <c r="K342" s="18" t="n">
        <v>260</v>
      </c>
      <c r="L342" s="19" t="n">
        <f aca="false">I342*J342</f>
        <v>449</v>
      </c>
      <c r="M342" s="19" t="n">
        <f aca="false">L342-I342*K342</f>
        <v>189</v>
      </c>
    </row>
    <row r="343" customFormat="false" ht="15" hidden="false" customHeight="false" outlineLevel="0" collapsed="false">
      <c r="A343" s="15" t="s">
        <v>385</v>
      </c>
      <c r="B343" s="16" t="n">
        <v>45669</v>
      </c>
      <c r="C343" s="17" t="n">
        <f aca="false">YEAR(B343)</f>
        <v>2025</v>
      </c>
      <c r="D343" s="17" t="n">
        <f aca="false">MONTH(B343)</f>
        <v>1</v>
      </c>
      <c r="E343" s="15" t="s">
        <v>27</v>
      </c>
      <c r="F343" s="15" t="s">
        <v>28</v>
      </c>
      <c r="G343" s="15" t="s">
        <v>29</v>
      </c>
      <c r="H343" s="15" t="s">
        <v>40</v>
      </c>
      <c r="I343" s="15" t="n">
        <v>2</v>
      </c>
      <c r="J343" s="18" t="n">
        <v>100</v>
      </c>
      <c r="K343" s="18" t="n">
        <v>88</v>
      </c>
      <c r="L343" s="19" t="n">
        <f aca="false">I343*J343</f>
        <v>200</v>
      </c>
      <c r="M343" s="19" t="n">
        <f aca="false">L343-I343*K343</f>
        <v>24</v>
      </c>
    </row>
    <row r="344" customFormat="false" ht="15" hidden="false" customHeight="false" outlineLevel="0" collapsed="false">
      <c r="A344" s="15" t="s">
        <v>386</v>
      </c>
      <c r="B344" s="16" t="n">
        <v>45556</v>
      </c>
      <c r="C344" s="17" t="n">
        <f aca="false">YEAR(B344)</f>
        <v>2024</v>
      </c>
      <c r="D344" s="17" t="n">
        <f aca="false">MONTH(B344)</f>
        <v>9</v>
      </c>
      <c r="E344" s="15" t="s">
        <v>27</v>
      </c>
      <c r="F344" s="15" t="s">
        <v>28</v>
      </c>
      <c r="G344" s="15" t="s">
        <v>29</v>
      </c>
      <c r="H344" s="15" t="s">
        <v>30</v>
      </c>
      <c r="I344" s="15" t="n">
        <v>2</v>
      </c>
      <c r="J344" s="18" t="n">
        <v>100</v>
      </c>
      <c r="K344" s="18" t="n">
        <v>88</v>
      </c>
      <c r="L344" s="19" t="n">
        <f aca="false">I344*J344</f>
        <v>200</v>
      </c>
      <c r="M344" s="19" t="n">
        <f aca="false">L344-I344*K344</f>
        <v>24</v>
      </c>
    </row>
    <row r="345" customFormat="false" ht="15" hidden="false" customHeight="false" outlineLevel="0" collapsed="false">
      <c r="A345" s="15" t="s">
        <v>387</v>
      </c>
      <c r="B345" s="16" t="n">
        <v>45733</v>
      </c>
      <c r="C345" s="17" t="n">
        <f aca="false">YEAR(B345)</f>
        <v>2025</v>
      </c>
      <c r="D345" s="17" t="n">
        <f aca="false">MONTH(B345)</f>
        <v>3</v>
      </c>
      <c r="E345" s="15" t="s">
        <v>57</v>
      </c>
      <c r="F345" s="15" t="s">
        <v>38</v>
      </c>
      <c r="G345" s="15" t="s">
        <v>29</v>
      </c>
      <c r="H345" s="15" t="s">
        <v>40</v>
      </c>
      <c r="I345" s="15" t="n">
        <v>1</v>
      </c>
      <c r="J345" s="18" t="n">
        <v>699</v>
      </c>
      <c r="K345" s="18" t="n">
        <v>420</v>
      </c>
      <c r="L345" s="19" t="n">
        <f aca="false">I345*J345</f>
        <v>699</v>
      </c>
      <c r="M345" s="19" t="n">
        <f aca="false">L345-I345*K345</f>
        <v>279</v>
      </c>
    </row>
    <row r="346" customFormat="false" ht="15" hidden="false" customHeight="false" outlineLevel="0" collapsed="false">
      <c r="A346" s="15" t="s">
        <v>388</v>
      </c>
      <c r="B346" s="16" t="n">
        <v>45413</v>
      </c>
      <c r="C346" s="17" t="n">
        <f aca="false">YEAR(B346)</f>
        <v>2024</v>
      </c>
      <c r="D346" s="17" t="n">
        <f aca="false">MONTH(B346)</f>
        <v>5</v>
      </c>
      <c r="E346" s="15" t="s">
        <v>48</v>
      </c>
      <c r="F346" s="15" t="s">
        <v>28</v>
      </c>
      <c r="G346" s="15" t="s">
        <v>29</v>
      </c>
      <c r="H346" s="15" t="s">
        <v>50</v>
      </c>
      <c r="I346" s="15" t="n">
        <v>4</v>
      </c>
      <c r="J346" s="18" t="n">
        <v>149</v>
      </c>
      <c r="K346" s="18" t="n">
        <v>60</v>
      </c>
      <c r="L346" s="19" t="n">
        <f aca="false">I346*J346</f>
        <v>596</v>
      </c>
      <c r="M346" s="19" t="n">
        <f aca="false">L346-I346*K346</f>
        <v>356</v>
      </c>
    </row>
    <row r="347" customFormat="false" ht="15" hidden="false" customHeight="false" outlineLevel="0" collapsed="false">
      <c r="A347" s="15" t="s">
        <v>389</v>
      </c>
      <c r="B347" s="16" t="n">
        <v>45749</v>
      </c>
      <c r="C347" s="17" t="n">
        <f aca="false">YEAR(B347)</f>
        <v>2025</v>
      </c>
      <c r="D347" s="17" t="n">
        <f aca="false">MONTH(B347)</f>
        <v>4</v>
      </c>
      <c r="E347" s="15" t="s">
        <v>62</v>
      </c>
      <c r="F347" s="15" t="s">
        <v>34</v>
      </c>
      <c r="G347" s="15" t="s">
        <v>29</v>
      </c>
      <c r="H347" s="15" t="s">
        <v>50</v>
      </c>
      <c r="I347" s="15" t="n">
        <v>2</v>
      </c>
      <c r="J347" s="18" t="n">
        <v>4499</v>
      </c>
      <c r="K347" s="18" t="n">
        <v>3400</v>
      </c>
      <c r="L347" s="19" t="n">
        <f aca="false">I347*J347</f>
        <v>8998</v>
      </c>
      <c r="M347" s="19" t="n">
        <f aca="false">L347-I347*K347</f>
        <v>2198</v>
      </c>
    </row>
    <row r="348" customFormat="false" ht="15" hidden="false" customHeight="false" outlineLevel="0" collapsed="false">
      <c r="A348" s="15" t="s">
        <v>390</v>
      </c>
      <c r="B348" s="16" t="n">
        <v>45967</v>
      </c>
      <c r="C348" s="17" t="n">
        <f aca="false">YEAR(B348)</f>
        <v>2025</v>
      </c>
      <c r="D348" s="17" t="n">
        <f aca="false">MONTH(B348)</f>
        <v>11</v>
      </c>
      <c r="E348" s="15" t="s">
        <v>27</v>
      </c>
      <c r="F348" s="15" t="s">
        <v>28</v>
      </c>
      <c r="G348" s="15" t="s">
        <v>29</v>
      </c>
      <c r="H348" s="15" t="s">
        <v>40</v>
      </c>
      <c r="I348" s="15" t="n">
        <v>4</v>
      </c>
      <c r="J348" s="18" t="n">
        <v>100</v>
      </c>
      <c r="K348" s="18" t="n">
        <v>88</v>
      </c>
      <c r="L348" s="19" t="n">
        <f aca="false">I348*J348</f>
        <v>400</v>
      </c>
      <c r="M348" s="19" t="n">
        <f aca="false">L348-I348*K348</f>
        <v>48</v>
      </c>
    </row>
    <row r="349" customFormat="false" ht="15" hidden="false" customHeight="false" outlineLevel="0" collapsed="false">
      <c r="A349" s="15" t="s">
        <v>391</v>
      </c>
      <c r="B349" s="16" t="n">
        <v>45376</v>
      </c>
      <c r="C349" s="17" t="n">
        <f aca="false">YEAR(B349)</f>
        <v>2024</v>
      </c>
      <c r="D349" s="17" t="n">
        <f aca="false">MONTH(B349)</f>
        <v>3</v>
      </c>
      <c r="E349" s="15" t="s">
        <v>48</v>
      </c>
      <c r="F349" s="15" t="s">
        <v>28</v>
      </c>
      <c r="G349" s="15" t="s">
        <v>35</v>
      </c>
      <c r="H349" s="15" t="s">
        <v>40</v>
      </c>
      <c r="I349" s="15" t="n">
        <v>2</v>
      </c>
      <c r="J349" s="18" t="n">
        <v>149</v>
      </c>
      <c r="K349" s="18" t="n">
        <v>60</v>
      </c>
      <c r="L349" s="19" t="n">
        <f aca="false">I349*J349</f>
        <v>298</v>
      </c>
      <c r="M349" s="19" t="n">
        <f aca="false">L349-I349*K349</f>
        <v>178</v>
      </c>
    </row>
    <row r="350" customFormat="false" ht="15" hidden="false" customHeight="false" outlineLevel="0" collapsed="false">
      <c r="A350" s="15" t="s">
        <v>392</v>
      </c>
      <c r="B350" s="16" t="n">
        <v>45729</v>
      </c>
      <c r="C350" s="17" t="n">
        <f aca="false">YEAR(B350)</f>
        <v>2025</v>
      </c>
      <c r="D350" s="17" t="n">
        <f aca="false">MONTH(B350)</f>
        <v>3</v>
      </c>
      <c r="E350" s="15" t="s">
        <v>62</v>
      </c>
      <c r="F350" s="15" t="s">
        <v>34</v>
      </c>
      <c r="G350" s="15" t="s">
        <v>35</v>
      </c>
      <c r="H350" s="15" t="s">
        <v>50</v>
      </c>
      <c r="I350" s="15" t="n">
        <v>1</v>
      </c>
      <c r="J350" s="18" t="n">
        <v>4499</v>
      </c>
      <c r="K350" s="18" t="n">
        <v>3400</v>
      </c>
      <c r="L350" s="19" t="n">
        <f aca="false">I350*J350</f>
        <v>4499</v>
      </c>
      <c r="M350" s="19" t="n">
        <f aca="false">L350-I350*K350</f>
        <v>1099</v>
      </c>
    </row>
    <row r="351" customFormat="false" ht="15" hidden="false" customHeight="false" outlineLevel="0" collapsed="false">
      <c r="A351" s="15" t="s">
        <v>393</v>
      </c>
      <c r="B351" s="16" t="n">
        <v>45515</v>
      </c>
      <c r="C351" s="17" t="n">
        <f aca="false">YEAR(B351)</f>
        <v>2024</v>
      </c>
      <c r="D351" s="17" t="n">
        <f aca="false">MONTH(B351)</f>
        <v>8</v>
      </c>
      <c r="E351" s="15" t="s">
        <v>27</v>
      </c>
      <c r="F351" s="15" t="s">
        <v>28</v>
      </c>
      <c r="G351" s="15" t="s">
        <v>29</v>
      </c>
      <c r="H351" s="15" t="s">
        <v>30</v>
      </c>
      <c r="I351" s="15" t="n">
        <v>2</v>
      </c>
      <c r="J351" s="18" t="n">
        <v>100</v>
      </c>
      <c r="K351" s="18" t="n">
        <v>88</v>
      </c>
      <c r="L351" s="19" t="n">
        <f aca="false">I351*J351</f>
        <v>200</v>
      </c>
      <c r="M351" s="19" t="n">
        <f aca="false">L351-I351*K351</f>
        <v>24</v>
      </c>
    </row>
    <row r="352" customFormat="false" ht="15" hidden="false" customHeight="false" outlineLevel="0" collapsed="false">
      <c r="A352" s="15" t="s">
        <v>394</v>
      </c>
      <c r="B352" s="16" t="n">
        <v>45874</v>
      </c>
      <c r="C352" s="17" t="n">
        <f aca="false">YEAR(B352)</f>
        <v>2025</v>
      </c>
      <c r="D352" s="17" t="n">
        <f aca="false">MONTH(B352)</f>
        <v>8</v>
      </c>
      <c r="E352" s="15" t="s">
        <v>37</v>
      </c>
      <c r="F352" s="15" t="s">
        <v>38</v>
      </c>
      <c r="G352" s="15" t="s">
        <v>35</v>
      </c>
      <c r="H352" s="15" t="s">
        <v>30</v>
      </c>
      <c r="I352" s="15" t="n">
        <v>2</v>
      </c>
      <c r="J352" s="18" t="n">
        <v>449</v>
      </c>
      <c r="K352" s="18" t="n">
        <v>260</v>
      </c>
      <c r="L352" s="19" t="n">
        <f aca="false">I352*J352</f>
        <v>898</v>
      </c>
      <c r="M352" s="19" t="n">
        <f aca="false">L352-I352*K352</f>
        <v>378</v>
      </c>
    </row>
    <row r="353" customFormat="false" ht="15" hidden="false" customHeight="false" outlineLevel="0" collapsed="false">
      <c r="A353" s="15" t="s">
        <v>395</v>
      </c>
      <c r="B353" s="16" t="n">
        <v>46003</v>
      </c>
      <c r="C353" s="17" t="n">
        <f aca="false">YEAR(B353)</f>
        <v>2025</v>
      </c>
      <c r="D353" s="17" t="n">
        <f aca="false">MONTH(B353)</f>
        <v>12</v>
      </c>
      <c r="E353" s="15" t="s">
        <v>27</v>
      </c>
      <c r="F353" s="15" t="s">
        <v>28</v>
      </c>
      <c r="G353" s="15" t="s">
        <v>55</v>
      </c>
      <c r="H353" s="15" t="s">
        <v>40</v>
      </c>
      <c r="I353" s="15" t="n">
        <v>1</v>
      </c>
      <c r="J353" s="18" t="n">
        <v>100</v>
      </c>
      <c r="K353" s="18" t="n">
        <v>88</v>
      </c>
      <c r="L353" s="19" t="n">
        <f aca="false">I353*J353</f>
        <v>100</v>
      </c>
      <c r="M353" s="19" t="n">
        <f aca="false">L353-I353*K353</f>
        <v>12</v>
      </c>
    </row>
    <row r="354" customFormat="false" ht="15" hidden="false" customHeight="false" outlineLevel="0" collapsed="false">
      <c r="A354" s="15" t="s">
        <v>396</v>
      </c>
      <c r="B354" s="16" t="n">
        <v>45802</v>
      </c>
      <c r="C354" s="17" t="n">
        <f aca="false">YEAR(B354)</f>
        <v>2025</v>
      </c>
      <c r="D354" s="17" t="n">
        <f aca="false">MONTH(B354)</f>
        <v>5</v>
      </c>
      <c r="E354" s="15" t="s">
        <v>37</v>
      </c>
      <c r="F354" s="15" t="s">
        <v>38</v>
      </c>
      <c r="G354" s="15" t="s">
        <v>35</v>
      </c>
      <c r="H354" s="15" t="s">
        <v>30</v>
      </c>
      <c r="I354" s="15" t="n">
        <v>3</v>
      </c>
      <c r="J354" s="18" t="n">
        <v>449</v>
      </c>
      <c r="K354" s="18" t="n">
        <v>260</v>
      </c>
      <c r="L354" s="19" t="n">
        <f aca="false">I354*J354</f>
        <v>1347</v>
      </c>
      <c r="M354" s="19" t="n">
        <f aca="false">L354-I354*K354</f>
        <v>567</v>
      </c>
    </row>
    <row r="355" customFormat="false" ht="15" hidden="false" customHeight="false" outlineLevel="0" collapsed="false">
      <c r="A355" s="15" t="s">
        <v>397</v>
      </c>
      <c r="B355" s="16" t="n">
        <v>45324</v>
      </c>
      <c r="C355" s="17" t="n">
        <f aca="false">YEAR(B355)</f>
        <v>2024</v>
      </c>
      <c r="D355" s="17" t="n">
        <f aca="false">MONTH(B355)</f>
        <v>2</v>
      </c>
      <c r="E355" s="15" t="s">
        <v>62</v>
      </c>
      <c r="F355" s="15" t="s">
        <v>34</v>
      </c>
      <c r="G355" s="15" t="s">
        <v>35</v>
      </c>
      <c r="H355" s="15" t="s">
        <v>50</v>
      </c>
      <c r="I355" s="15" t="n">
        <v>1</v>
      </c>
      <c r="J355" s="18" t="n">
        <v>4499</v>
      </c>
      <c r="K355" s="18" t="n">
        <v>3400</v>
      </c>
      <c r="L355" s="19" t="n">
        <f aca="false">I355*J355</f>
        <v>4499</v>
      </c>
      <c r="M355" s="19" t="n">
        <f aca="false">L355-I355*K355</f>
        <v>1099</v>
      </c>
    </row>
    <row r="356" customFormat="false" ht="15" hidden="false" customHeight="false" outlineLevel="0" collapsed="false">
      <c r="A356" s="15" t="s">
        <v>398</v>
      </c>
      <c r="B356" s="16" t="n">
        <v>45925</v>
      </c>
      <c r="C356" s="17" t="n">
        <f aca="false">YEAR(B356)</f>
        <v>2025</v>
      </c>
      <c r="D356" s="17" t="n">
        <f aca="false">MONTH(B356)</f>
        <v>9</v>
      </c>
      <c r="E356" s="15" t="s">
        <v>33</v>
      </c>
      <c r="F356" s="15" t="s">
        <v>34</v>
      </c>
      <c r="G356" s="15" t="s">
        <v>55</v>
      </c>
      <c r="H356" s="15" t="s">
        <v>40</v>
      </c>
      <c r="I356" s="15" t="n">
        <v>2</v>
      </c>
      <c r="J356" s="18" t="n">
        <v>2799</v>
      </c>
      <c r="K356" s="18" t="n">
        <v>2100</v>
      </c>
      <c r="L356" s="19" t="n">
        <f aca="false">I356*J356</f>
        <v>5598</v>
      </c>
      <c r="M356" s="19" t="n">
        <f aca="false">L356-I356*K356</f>
        <v>1398</v>
      </c>
    </row>
    <row r="357" customFormat="false" ht="15" hidden="false" customHeight="false" outlineLevel="0" collapsed="false">
      <c r="A357" s="15" t="s">
        <v>399</v>
      </c>
      <c r="B357" s="16" t="n">
        <v>45790</v>
      </c>
      <c r="C357" s="17" t="n">
        <f aca="false">YEAR(B357)</f>
        <v>2025</v>
      </c>
      <c r="D357" s="17" t="n">
        <f aca="false">MONTH(B357)</f>
        <v>5</v>
      </c>
      <c r="E357" s="15" t="s">
        <v>48</v>
      </c>
      <c r="F357" s="15" t="s">
        <v>28</v>
      </c>
      <c r="G357" s="15" t="s">
        <v>55</v>
      </c>
      <c r="H357" s="15" t="s">
        <v>40</v>
      </c>
      <c r="I357" s="15" t="n">
        <v>3</v>
      </c>
      <c r="J357" s="18" t="n">
        <v>149</v>
      </c>
      <c r="K357" s="18" t="n">
        <v>60</v>
      </c>
      <c r="L357" s="19" t="n">
        <f aca="false">I357*J357</f>
        <v>447</v>
      </c>
      <c r="M357" s="19" t="n">
        <f aca="false">L357-I357*K357</f>
        <v>267</v>
      </c>
    </row>
    <row r="358" customFormat="false" ht="15" hidden="false" customHeight="false" outlineLevel="0" collapsed="false">
      <c r="A358" s="15" t="s">
        <v>400</v>
      </c>
      <c r="B358" s="16" t="n">
        <v>45741</v>
      </c>
      <c r="C358" s="17" t="n">
        <f aca="false">YEAR(B358)</f>
        <v>2025</v>
      </c>
      <c r="D358" s="17" t="n">
        <f aca="false">MONTH(B358)</f>
        <v>3</v>
      </c>
      <c r="E358" s="15" t="s">
        <v>37</v>
      </c>
      <c r="F358" s="15" t="s">
        <v>38</v>
      </c>
      <c r="G358" s="15" t="s">
        <v>39</v>
      </c>
      <c r="H358" s="15" t="s">
        <v>50</v>
      </c>
      <c r="I358" s="15" t="n">
        <v>2</v>
      </c>
      <c r="J358" s="18" t="n">
        <v>449</v>
      </c>
      <c r="K358" s="18" t="n">
        <v>260</v>
      </c>
      <c r="L358" s="19" t="n">
        <f aca="false">I358*J358</f>
        <v>898</v>
      </c>
      <c r="M358" s="19" t="n">
        <f aca="false">L358-I358*K358</f>
        <v>378</v>
      </c>
    </row>
    <row r="359" customFormat="false" ht="15" hidden="false" customHeight="false" outlineLevel="0" collapsed="false">
      <c r="A359" s="15" t="s">
        <v>401</v>
      </c>
      <c r="B359" s="16" t="n">
        <v>45663</v>
      </c>
      <c r="C359" s="17" t="n">
        <f aca="false">YEAR(B359)</f>
        <v>2025</v>
      </c>
      <c r="D359" s="17" t="n">
        <f aca="false">MONTH(B359)</f>
        <v>1</v>
      </c>
      <c r="E359" s="15" t="s">
        <v>27</v>
      </c>
      <c r="F359" s="15" t="s">
        <v>28</v>
      </c>
      <c r="G359" s="15" t="s">
        <v>29</v>
      </c>
      <c r="H359" s="15" t="s">
        <v>40</v>
      </c>
      <c r="I359" s="15" t="n">
        <v>2</v>
      </c>
      <c r="J359" s="18" t="n">
        <v>100</v>
      </c>
      <c r="K359" s="18" t="n">
        <v>88</v>
      </c>
      <c r="L359" s="19" t="n">
        <f aca="false">I359*J359</f>
        <v>200</v>
      </c>
      <c r="M359" s="19" t="n">
        <f aca="false">L359-I359*K359</f>
        <v>24</v>
      </c>
    </row>
    <row r="360" customFormat="false" ht="15" hidden="false" customHeight="false" outlineLevel="0" collapsed="false">
      <c r="A360" s="15" t="s">
        <v>402</v>
      </c>
      <c r="B360" s="16" t="n">
        <v>45686</v>
      </c>
      <c r="C360" s="17" t="n">
        <f aca="false">YEAR(B360)</f>
        <v>2025</v>
      </c>
      <c r="D360" s="17" t="n">
        <f aca="false">MONTH(B360)</f>
        <v>1</v>
      </c>
      <c r="E360" s="15" t="s">
        <v>48</v>
      </c>
      <c r="F360" s="15" t="s">
        <v>28</v>
      </c>
      <c r="G360" s="15" t="s">
        <v>35</v>
      </c>
      <c r="H360" s="15" t="s">
        <v>50</v>
      </c>
      <c r="I360" s="15" t="n">
        <v>4</v>
      </c>
      <c r="J360" s="18" t="n">
        <v>149</v>
      </c>
      <c r="K360" s="18" t="n">
        <v>60</v>
      </c>
      <c r="L360" s="19" t="n">
        <f aca="false">I360*J360</f>
        <v>596</v>
      </c>
      <c r="M360" s="19" t="n">
        <f aca="false">L360-I360*K360</f>
        <v>356</v>
      </c>
    </row>
    <row r="361" customFormat="false" ht="15" hidden="false" customHeight="false" outlineLevel="0" collapsed="false">
      <c r="A361" s="15" t="s">
        <v>403</v>
      </c>
      <c r="B361" s="16" t="n">
        <v>45872</v>
      </c>
      <c r="C361" s="17" t="n">
        <f aca="false">YEAR(B361)</f>
        <v>2025</v>
      </c>
      <c r="D361" s="17" t="n">
        <f aca="false">MONTH(B361)</f>
        <v>8</v>
      </c>
      <c r="E361" s="15" t="s">
        <v>37</v>
      </c>
      <c r="F361" s="15" t="s">
        <v>38</v>
      </c>
      <c r="G361" s="15" t="s">
        <v>43</v>
      </c>
      <c r="H361" s="15" t="s">
        <v>50</v>
      </c>
      <c r="I361" s="15" t="n">
        <v>3</v>
      </c>
      <c r="J361" s="18" t="n">
        <v>449</v>
      </c>
      <c r="K361" s="18" t="n">
        <v>260</v>
      </c>
      <c r="L361" s="19" t="n">
        <f aca="false">I361*J361</f>
        <v>1347</v>
      </c>
      <c r="M361" s="19" t="n">
        <f aca="false">L361-I361*K361</f>
        <v>567</v>
      </c>
    </row>
    <row r="362" customFormat="false" ht="15" hidden="false" customHeight="false" outlineLevel="0" collapsed="false">
      <c r="A362" s="15" t="s">
        <v>404</v>
      </c>
      <c r="B362" s="16" t="n">
        <v>46012</v>
      </c>
      <c r="C362" s="17" t="n">
        <f aca="false">YEAR(B362)</f>
        <v>2025</v>
      </c>
      <c r="D362" s="17" t="n">
        <f aca="false">MONTH(B362)</f>
        <v>12</v>
      </c>
      <c r="E362" s="15" t="s">
        <v>48</v>
      </c>
      <c r="F362" s="15" t="s">
        <v>28</v>
      </c>
      <c r="G362" s="15" t="s">
        <v>35</v>
      </c>
      <c r="H362" s="15" t="s">
        <v>50</v>
      </c>
      <c r="I362" s="15" t="n">
        <v>3</v>
      </c>
      <c r="J362" s="18" t="n">
        <v>149</v>
      </c>
      <c r="K362" s="18" t="n">
        <v>60</v>
      </c>
      <c r="L362" s="19" t="n">
        <f aca="false">I362*J362</f>
        <v>447</v>
      </c>
      <c r="M362" s="19" t="n">
        <f aca="false">L362-I362*K362</f>
        <v>267</v>
      </c>
    </row>
    <row r="363" customFormat="false" ht="15" hidden="false" customHeight="false" outlineLevel="0" collapsed="false">
      <c r="A363" s="15" t="s">
        <v>405</v>
      </c>
      <c r="B363" s="16" t="n">
        <v>45307</v>
      </c>
      <c r="C363" s="17" t="n">
        <f aca="false">YEAR(B363)</f>
        <v>2024</v>
      </c>
      <c r="D363" s="17" t="n">
        <f aca="false">MONTH(B363)</f>
        <v>1</v>
      </c>
      <c r="E363" s="15" t="s">
        <v>27</v>
      </c>
      <c r="F363" s="15" t="s">
        <v>28</v>
      </c>
      <c r="G363" s="15" t="s">
        <v>29</v>
      </c>
      <c r="H363" s="15" t="s">
        <v>50</v>
      </c>
      <c r="I363" s="15" t="n">
        <v>3</v>
      </c>
      <c r="J363" s="18" t="n">
        <v>100</v>
      </c>
      <c r="K363" s="18" t="n">
        <v>88</v>
      </c>
      <c r="L363" s="19" t="n">
        <f aca="false">I363*J363</f>
        <v>300</v>
      </c>
      <c r="M363" s="19" t="n">
        <f aca="false">L363-I363*K363</f>
        <v>36</v>
      </c>
    </row>
    <row r="364" customFormat="false" ht="15" hidden="false" customHeight="false" outlineLevel="0" collapsed="false">
      <c r="A364" s="15" t="s">
        <v>406</v>
      </c>
      <c r="B364" s="16" t="n">
        <v>45544</v>
      </c>
      <c r="C364" s="17" t="n">
        <f aca="false">YEAR(B364)</f>
        <v>2024</v>
      </c>
      <c r="D364" s="17" t="n">
        <f aca="false">MONTH(B364)</f>
        <v>9</v>
      </c>
      <c r="E364" s="15" t="s">
        <v>37</v>
      </c>
      <c r="F364" s="15" t="s">
        <v>38</v>
      </c>
      <c r="G364" s="15" t="s">
        <v>29</v>
      </c>
      <c r="H364" s="15" t="s">
        <v>50</v>
      </c>
      <c r="I364" s="15" t="n">
        <v>4</v>
      </c>
      <c r="J364" s="18" t="n">
        <v>449</v>
      </c>
      <c r="K364" s="18" t="n">
        <v>260</v>
      </c>
      <c r="L364" s="19" t="n">
        <f aca="false">I364*J364</f>
        <v>1796</v>
      </c>
      <c r="M364" s="19" t="n">
        <f aca="false">L364-I364*K364</f>
        <v>756</v>
      </c>
    </row>
    <row r="365" customFormat="false" ht="15" hidden="false" customHeight="false" outlineLevel="0" collapsed="false">
      <c r="A365" s="15" t="s">
        <v>407</v>
      </c>
      <c r="B365" s="16" t="n">
        <v>45754</v>
      </c>
      <c r="C365" s="17" t="n">
        <f aca="false">YEAR(B365)</f>
        <v>2025</v>
      </c>
      <c r="D365" s="17" t="n">
        <f aca="false">MONTH(B365)</f>
        <v>4</v>
      </c>
      <c r="E365" s="15" t="s">
        <v>37</v>
      </c>
      <c r="F365" s="15" t="s">
        <v>38</v>
      </c>
      <c r="G365" s="15" t="s">
        <v>55</v>
      </c>
      <c r="H365" s="15" t="s">
        <v>30</v>
      </c>
      <c r="I365" s="15" t="n">
        <v>1</v>
      </c>
      <c r="J365" s="18" t="n">
        <v>449</v>
      </c>
      <c r="K365" s="18" t="n">
        <v>260</v>
      </c>
      <c r="L365" s="19" t="n">
        <f aca="false">I365*J365</f>
        <v>449</v>
      </c>
      <c r="M365" s="19" t="n">
        <f aca="false">L365-I365*K365</f>
        <v>189</v>
      </c>
    </row>
    <row r="366" customFormat="false" ht="15" hidden="false" customHeight="false" outlineLevel="0" collapsed="false">
      <c r="A366" s="15" t="s">
        <v>408</v>
      </c>
      <c r="B366" s="16" t="n">
        <v>45453</v>
      </c>
      <c r="C366" s="17" t="n">
        <f aca="false">YEAR(B366)</f>
        <v>2024</v>
      </c>
      <c r="D366" s="17" t="n">
        <f aca="false">MONTH(B366)</f>
        <v>6</v>
      </c>
      <c r="E366" s="15" t="s">
        <v>57</v>
      </c>
      <c r="F366" s="15" t="s">
        <v>38</v>
      </c>
      <c r="G366" s="15" t="s">
        <v>55</v>
      </c>
      <c r="H366" s="15" t="s">
        <v>30</v>
      </c>
      <c r="I366" s="15" t="n">
        <v>1</v>
      </c>
      <c r="J366" s="18" t="n">
        <v>699</v>
      </c>
      <c r="K366" s="18" t="n">
        <v>420</v>
      </c>
      <c r="L366" s="19" t="n">
        <f aca="false">I366*J366</f>
        <v>699</v>
      </c>
      <c r="M366" s="19" t="n">
        <f aca="false">L366-I366*K366</f>
        <v>279</v>
      </c>
    </row>
    <row r="367" customFormat="false" ht="15" hidden="false" customHeight="false" outlineLevel="0" collapsed="false">
      <c r="A367" s="15" t="s">
        <v>409</v>
      </c>
      <c r="B367" s="16" t="n">
        <v>45877</v>
      </c>
      <c r="C367" s="17" t="n">
        <f aca="false">YEAR(B367)</f>
        <v>2025</v>
      </c>
      <c r="D367" s="17" t="n">
        <f aca="false">MONTH(B367)</f>
        <v>8</v>
      </c>
      <c r="E367" s="15" t="s">
        <v>33</v>
      </c>
      <c r="F367" s="15" t="s">
        <v>34</v>
      </c>
      <c r="G367" s="15" t="s">
        <v>55</v>
      </c>
      <c r="H367" s="15" t="s">
        <v>30</v>
      </c>
      <c r="I367" s="15" t="n">
        <v>2</v>
      </c>
      <c r="J367" s="18" t="n">
        <v>2799</v>
      </c>
      <c r="K367" s="18" t="n">
        <v>2100</v>
      </c>
      <c r="L367" s="19" t="n">
        <f aca="false">I367*J367</f>
        <v>5598</v>
      </c>
      <c r="M367" s="19" t="n">
        <f aca="false">L367-I367*K367</f>
        <v>1398</v>
      </c>
    </row>
    <row r="368" customFormat="false" ht="15" hidden="false" customHeight="false" outlineLevel="0" collapsed="false">
      <c r="A368" s="15" t="s">
        <v>410</v>
      </c>
      <c r="B368" s="16" t="n">
        <v>45858</v>
      </c>
      <c r="C368" s="17" t="n">
        <f aca="false">YEAR(B368)</f>
        <v>2025</v>
      </c>
      <c r="D368" s="17" t="n">
        <f aca="false">MONTH(B368)</f>
        <v>7</v>
      </c>
      <c r="E368" s="15" t="s">
        <v>37</v>
      </c>
      <c r="F368" s="15" t="s">
        <v>38</v>
      </c>
      <c r="G368" s="15" t="s">
        <v>39</v>
      </c>
      <c r="H368" s="15" t="s">
        <v>50</v>
      </c>
      <c r="I368" s="15" t="n">
        <v>4</v>
      </c>
      <c r="J368" s="18" t="n">
        <v>449</v>
      </c>
      <c r="K368" s="18" t="n">
        <v>260</v>
      </c>
      <c r="L368" s="19" t="n">
        <f aca="false">I368*J368</f>
        <v>1796</v>
      </c>
      <c r="M368" s="19" t="n">
        <f aca="false">L368-I368*K368</f>
        <v>756</v>
      </c>
    </row>
    <row r="369" customFormat="false" ht="15" hidden="false" customHeight="false" outlineLevel="0" collapsed="false">
      <c r="A369" s="15" t="s">
        <v>411</v>
      </c>
      <c r="B369" s="16" t="n">
        <v>45531</v>
      </c>
      <c r="C369" s="17" t="n">
        <f aca="false">YEAR(B369)</f>
        <v>2024</v>
      </c>
      <c r="D369" s="17" t="n">
        <f aca="false">MONTH(B369)</f>
        <v>8</v>
      </c>
      <c r="E369" s="15" t="s">
        <v>37</v>
      </c>
      <c r="F369" s="15" t="s">
        <v>38</v>
      </c>
      <c r="G369" s="15" t="s">
        <v>29</v>
      </c>
      <c r="H369" s="15" t="s">
        <v>40</v>
      </c>
      <c r="I369" s="15" t="n">
        <v>1</v>
      </c>
      <c r="J369" s="18" t="n">
        <v>449</v>
      </c>
      <c r="K369" s="18" t="n">
        <v>260</v>
      </c>
      <c r="L369" s="19" t="n">
        <f aca="false">I369*J369</f>
        <v>449</v>
      </c>
      <c r="M369" s="19" t="n">
        <f aca="false">L369-I369*K369</f>
        <v>189</v>
      </c>
    </row>
    <row r="370" customFormat="false" ht="15" hidden="false" customHeight="false" outlineLevel="0" collapsed="false">
      <c r="A370" s="15" t="s">
        <v>412</v>
      </c>
      <c r="B370" s="16" t="n">
        <v>45503</v>
      </c>
      <c r="C370" s="17" t="n">
        <f aca="false">YEAR(B370)</f>
        <v>2024</v>
      </c>
      <c r="D370" s="17" t="n">
        <f aca="false">MONTH(B370)</f>
        <v>7</v>
      </c>
      <c r="E370" s="15" t="s">
        <v>27</v>
      </c>
      <c r="F370" s="15" t="s">
        <v>28</v>
      </c>
      <c r="G370" s="15" t="s">
        <v>29</v>
      </c>
      <c r="H370" s="15" t="s">
        <v>40</v>
      </c>
      <c r="I370" s="15" t="n">
        <v>1</v>
      </c>
      <c r="J370" s="18" t="n">
        <v>100</v>
      </c>
      <c r="K370" s="18" t="n">
        <v>88</v>
      </c>
      <c r="L370" s="19" t="n">
        <f aca="false">I370*J370</f>
        <v>100</v>
      </c>
      <c r="M370" s="19" t="n">
        <f aca="false">L370-I370*K370</f>
        <v>12</v>
      </c>
    </row>
    <row r="371" customFormat="false" ht="15" hidden="false" customHeight="false" outlineLevel="0" collapsed="false">
      <c r="A371" s="15" t="s">
        <v>413</v>
      </c>
      <c r="B371" s="16" t="n">
        <v>45381</v>
      </c>
      <c r="C371" s="17" t="n">
        <f aca="false">YEAR(B371)</f>
        <v>2024</v>
      </c>
      <c r="D371" s="17" t="n">
        <f aca="false">MONTH(B371)</f>
        <v>3</v>
      </c>
      <c r="E371" s="15" t="s">
        <v>57</v>
      </c>
      <c r="F371" s="15" t="s">
        <v>38</v>
      </c>
      <c r="G371" s="15" t="s">
        <v>29</v>
      </c>
      <c r="H371" s="15" t="s">
        <v>30</v>
      </c>
      <c r="I371" s="15" t="n">
        <v>3</v>
      </c>
      <c r="J371" s="18" t="n">
        <v>699</v>
      </c>
      <c r="K371" s="18" t="n">
        <v>420</v>
      </c>
      <c r="L371" s="19" t="n">
        <f aca="false">I371*J371</f>
        <v>2097</v>
      </c>
      <c r="M371" s="19" t="n">
        <f aca="false">L371-I371*K371</f>
        <v>837</v>
      </c>
    </row>
    <row r="372" customFormat="false" ht="15" hidden="false" customHeight="false" outlineLevel="0" collapsed="false">
      <c r="A372" s="15" t="s">
        <v>414</v>
      </c>
      <c r="B372" s="16" t="n">
        <v>45885</v>
      </c>
      <c r="C372" s="17" t="n">
        <f aca="false">YEAR(B372)</f>
        <v>2025</v>
      </c>
      <c r="D372" s="17" t="n">
        <f aca="false">MONTH(B372)</f>
        <v>8</v>
      </c>
      <c r="E372" s="15" t="s">
        <v>57</v>
      </c>
      <c r="F372" s="15" t="s">
        <v>38</v>
      </c>
      <c r="G372" s="15" t="s">
        <v>35</v>
      </c>
      <c r="H372" s="15" t="s">
        <v>40</v>
      </c>
      <c r="I372" s="15" t="n">
        <v>3</v>
      </c>
      <c r="J372" s="18" t="n">
        <v>699</v>
      </c>
      <c r="K372" s="18" t="n">
        <v>420</v>
      </c>
      <c r="L372" s="19" t="n">
        <f aca="false">I372*J372</f>
        <v>2097</v>
      </c>
      <c r="M372" s="19" t="n">
        <f aca="false">L372-I372*K372</f>
        <v>837</v>
      </c>
    </row>
    <row r="373" customFormat="false" ht="15" hidden="false" customHeight="false" outlineLevel="0" collapsed="false">
      <c r="A373" s="15" t="s">
        <v>415</v>
      </c>
      <c r="B373" s="16" t="n">
        <v>45780</v>
      </c>
      <c r="C373" s="17" t="n">
        <f aca="false">YEAR(B373)</f>
        <v>2025</v>
      </c>
      <c r="D373" s="17" t="n">
        <f aca="false">MONTH(B373)</f>
        <v>5</v>
      </c>
      <c r="E373" s="15" t="s">
        <v>57</v>
      </c>
      <c r="F373" s="15" t="s">
        <v>38</v>
      </c>
      <c r="G373" s="15" t="s">
        <v>39</v>
      </c>
      <c r="H373" s="15" t="s">
        <v>30</v>
      </c>
      <c r="I373" s="15" t="n">
        <v>2</v>
      </c>
      <c r="J373" s="18" t="n">
        <v>699</v>
      </c>
      <c r="K373" s="18" t="n">
        <v>420</v>
      </c>
      <c r="L373" s="19" t="n">
        <f aca="false">I373*J373</f>
        <v>1398</v>
      </c>
      <c r="M373" s="19" t="n">
        <f aca="false">L373-I373*K373</f>
        <v>558</v>
      </c>
    </row>
    <row r="374" customFormat="false" ht="15" hidden="false" customHeight="false" outlineLevel="0" collapsed="false">
      <c r="A374" s="15" t="s">
        <v>416</v>
      </c>
      <c r="B374" s="16" t="n">
        <v>45477</v>
      </c>
      <c r="C374" s="17" t="n">
        <f aca="false">YEAR(B374)</f>
        <v>2024</v>
      </c>
      <c r="D374" s="17" t="n">
        <f aca="false">MONTH(B374)</f>
        <v>7</v>
      </c>
      <c r="E374" s="15" t="s">
        <v>48</v>
      </c>
      <c r="F374" s="15" t="s">
        <v>28</v>
      </c>
      <c r="G374" s="15" t="s">
        <v>55</v>
      </c>
      <c r="H374" s="15" t="s">
        <v>40</v>
      </c>
      <c r="I374" s="15" t="n">
        <v>3</v>
      </c>
      <c r="J374" s="18" t="n">
        <v>149</v>
      </c>
      <c r="K374" s="18" t="n">
        <v>60</v>
      </c>
      <c r="L374" s="19" t="n">
        <f aca="false">I374*J374</f>
        <v>447</v>
      </c>
      <c r="M374" s="19" t="n">
        <f aca="false">L374-I374*K374</f>
        <v>267</v>
      </c>
    </row>
    <row r="375" customFormat="false" ht="15" hidden="false" customHeight="false" outlineLevel="0" collapsed="false">
      <c r="A375" s="15" t="s">
        <v>417</v>
      </c>
      <c r="B375" s="16" t="n">
        <v>45704</v>
      </c>
      <c r="C375" s="17" t="n">
        <f aca="false">YEAR(B375)</f>
        <v>2025</v>
      </c>
      <c r="D375" s="17" t="n">
        <f aca="false">MONTH(B375)</f>
        <v>2</v>
      </c>
      <c r="E375" s="15" t="s">
        <v>48</v>
      </c>
      <c r="F375" s="15" t="s">
        <v>28</v>
      </c>
      <c r="G375" s="15" t="s">
        <v>39</v>
      </c>
      <c r="H375" s="15" t="s">
        <v>50</v>
      </c>
      <c r="I375" s="15" t="n">
        <v>2</v>
      </c>
      <c r="J375" s="18" t="n">
        <v>149</v>
      </c>
      <c r="K375" s="18" t="n">
        <v>60</v>
      </c>
      <c r="L375" s="19" t="n">
        <f aca="false">I375*J375</f>
        <v>298</v>
      </c>
      <c r="M375" s="19" t="n">
        <f aca="false">L375-I375*K375</f>
        <v>178</v>
      </c>
    </row>
    <row r="376" customFormat="false" ht="15" hidden="false" customHeight="false" outlineLevel="0" collapsed="false">
      <c r="A376" s="15" t="s">
        <v>418</v>
      </c>
      <c r="B376" s="16" t="n">
        <v>45797</v>
      </c>
      <c r="C376" s="17" t="n">
        <f aca="false">YEAR(B376)</f>
        <v>2025</v>
      </c>
      <c r="D376" s="17" t="n">
        <f aca="false">MONTH(B376)</f>
        <v>5</v>
      </c>
      <c r="E376" s="15" t="s">
        <v>37</v>
      </c>
      <c r="F376" s="15" t="s">
        <v>38</v>
      </c>
      <c r="G376" s="15" t="s">
        <v>55</v>
      </c>
      <c r="H376" s="15" t="s">
        <v>40</v>
      </c>
      <c r="I376" s="15" t="n">
        <v>1</v>
      </c>
      <c r="J376" s="18" t="n">
        <v>449</v>
      </c>
      <c r="K376" s="18" t="n">
        <v>260</v>
      </c>
      <c r="L376" s="19" t="n">
        <f aca="false">I376*J376</f>
        <v>449</v>
      </c>
      <c r="M376" s="19" t="n">
        <f aca="false">L376-I376*K376</f>
        <v>189</v>
      </c>
    </row>
    <row r="377" customFormat="false" ht="15" hidden="false" customHeight="false" outlineLevel="0" collapsed="false">
      <c r="A377" s="15" t="s">
        <v>419</v>
      </c>
      <c r="B377" s="16" t="n">
        <v>45375</v>
      </c>
      <c r="C377" s="17" t="n">
        <f aca="false">YEAR(B377)</f>
        <v>2024</v>
      </c>
      <c r="D377" s="17" t="n">
        <f aca="false">MONTH(B377)</f>
        <v>3</v>
      </c>
      <c r="E377" s="15" t="s">
        <v>33</v>
      </c>
      <c r="F377" s="15" t="s">
        <v>34</v>
      </c>
      <c r="G377" s="15" t="s">
        <v>55</v>
      </c>
      <c r="H377" s="15" t="s">
        <v>40</v>
      </c>
      <c r="I377" s="15" t="n">
        <v>1</v>
      </c>
      <c r="J377" s="18" t="n">
        <v>2799</v>
      </c>
      <c r="K377" s="18" t="n">
        <v>2100</v>
      </c>
      <c r="L377" s="19" t="n">
        <f aca="false">I377*J377</f>
        <v>2799</v>
      </c>
      <c r="M377" s="19" t="n">
        <f aca="false">L377-I377*K377</f>
        <v>699</v>
      </c>
    </row>
    <row r="378" customFormat="false" ht="15" hidden="false" customHeight="false" outlineLevel="0" collapsed="false">
      <c r="A378" s="15" t="s">
        <v>420</v>
      </c>
      <c r="B378" s="16" t="n">
        <v>45313</v>
      </c>
      <c r="C378" s="17" t="n">
        <f aca="false">YEAR(B378)</f>
        <v>2024</v>
      </c>
      <c r="D378" s="17" t="n">
        <f aca="false">MONTH(B378)</f>
        <v>1</v>
      </c>
      <c r="E378" s="15" t="s">
        <v>33</v>
      </c>
      <c r="F378" s="15" t="s">
        <v>34</v>
      </c>
      <c r="G378" s="15" t="s">
        <v>35</v>
      </c>
      <c r="H378" s="15" t="s">
        <v>50</v>
      </c>
      <c r="I378" s="15" t="n">
        <v>1</v>
      </c>
      <c r="J378" s="18" t="n">
        <v>2799</v>
      </c>
      <c r="K378" s="18" t="n">
        <v>2100</v>
      </c>
      <c r="L378" s="19" t="n">
        <f aca="false">I378*J378</f>
        <v>2799</v>
      </c>
      <c r="M378" s="19" t="n">
        <f aca="false">L378-I378*K378</f>
        <v>699</v>
      </c>
    </row>
    <row r="379" customFormat="false" ht="15" hidden="false" customHeight="false" outlineLevel="0" collapsed="false">
      <c r="A379" s="15" t="s">
        <v>421</v>
      </c>
      <c r="B379" s="16" t="n">
        <v>45789</v>
      </c>
      <c r="C379" s="17" t="n">
        <f aca="false">YEAR(B379)</f>
        <v>2025</v>
      </c>
      <c r="D379" s="17" t="n">
        <f aca="false">MONTH(B379)</f>
        <v>5</v>
      </c>
      <c r="E379" s="15" t="s">
        <v>57</v>
      </c>
      <c r="F379" s="15" t="s">
        <v>38</v>
      </c>
      <c r="G379" s="15" t="s">
        <v>39</v>
      </c>
      <c r="H379" s="15" t="s">
        <v>50</v>
      </c>
      <c r="I379" s="15" t="n">
        <v>2</v>
      </c>
      <c r="J379" s="18" t="n">
        <v>699</v>
      </c>
      <c r="K379" s="18" t="n">
        <v>420</v>
      </c>
      <c r="L379" s="19" t="n">
        <f aca="false">I379*J379</f>
        <v>1398</v>
      </c>
      <c r="M379" s="19" t="n">
        <f aca="false">L379-I379*K379</f>
        <v>558</v>
      </c>
    </row>
    <row r="380" customFormat="false" ht="15" hidden="false" customHeight="false" outlineLevel="0" collapsed="false">
      <c r="A380" s="15" t="s">
        <v>422</v>
      </c>
      <c r="B380" s="16" t="n">
        <v>45728</v>
      </c>
      <c r="C380" s="17" t="n">
        <f aca="false">YEAR(B380)</f>
        <v>2025</v>
      </c>
      <c r="D380" s="17" t="n">
        <f aca="false">MONTH(B380)</f>
        <v>3</v>
      </c>
      <c r="E380" s="15" t="s">
        <v>33</v>
      </c>
      <c r="F380" s="15" t="s">
        <v>34</v>
      </c>
      <c r="G380" s="15" t="s">
        <v>29</v>
      </c>
      <c r="H380" s="15" t="s">
        <v>50</v>
      </c>
      <c r="I380" s="15" t="n">
        <v>2</v>
      </c>
      <c r="J380" s="18" t="n">
        <v>2799</v>
      </c>
      <c r="K380" s="18" t="n">
        <v>2100</v>
      </c>
      <c r="L380" s="19" t="n">
        <f aca="false">I380*J380</f>
        <v>5598</v>
      </c>
      <c r="M380" s="19" t="n">
        <f aca="false">L380-I380*K380</f>
        <v>1398</v>
      </c>
    </row>
    <row r="381" customFormat="false" ht="15" hidden="false" customHeight="false" outlineLevel="0" collapsed="false">
      <c r="A381" s="15" t="s">
        <v>423</v>
      </c>
      <c r="B381" s="16" t="n">
        <v>45426</v>
      </c>
      <c r="C381" s="17" t="n">
        <f aca="false">YEAR(B381)</f>
        <v>2024</v>
      </c>
      <c r="D381" s="17" t="n">
        <f aca="false">MONTH(B381)</f>
        <v>5</v>
      </c>
      <c r="E381" s="15" t="s">
        <v>37</v>
      </c>
      <c r="F381" s="15" t="s">
        <v>38</v>
      </c>
      <c r="G381" s="15" t="s">
        <v>55</v>
      </c>
      <c r="H381" s="15" t="s">
        <v>50</v>
      </c>
      <c r="I381" s="15" t="n">
        <v>1</v>
      </c>
      <c r="J381" s="18" t="n">
        <v>449</v>
      </c>
      <c r="K381" s="18" t="n">
        <v>260</v>
      </c>
      <c r="L381" s="19" t="n">
        <f aca="false">I381*J381</f>
        <v>449</v>
      </c>
      <c r="M381" s="19" t="n">
        <f aca="false">L381-I381*K381</f>
        <v>189</v>
      </c>
    </row>
    <row r="382" customFormat="false" ht="15" hidden="false" customHeight="false" outlineLevel="0" collapsed="false">
      <c r="A382" s="15" t="s">
        <v>424</v>
      </c>
      <c r="B382" s="16" t="n">
        <v>45679</v>
      </c>
      <c r="C382" s="17" t="n">
        <f aca="false">YEAR(B382)</f>
        <v>2025</v>
      </c>
      <c r="D382" s="17" t="n">
        <f aca="false">MONTH(B382)</f>
        <v>1</v>
      </c>
      <c r="E382" s="15" t="s">
        <v>33</v>
      </c>
      <c r="F382" s="15" t="s">
        <v>34</v>
      </c>
      <c r="G382" s="15" t="s">
        <v>43</v>
      </c>
      <c r="H382" s="15" t="s">
        <v>30</v>
      </c>
      <c r="I382" s="15" t="n">
        <v>1</v>
      </c>
      <c r="J382" s="18" t="n">
        <v>2799</v>
      </c>
      <c r="K382" s="18" t="n">
        <v>2100</v>
      </c>
      <c r="L382" s="19" t="n">
        <f aca="false">I382*J382</f>
        <v>2799</v>
      </c>
      <c r="M382" s="19" t="n">
        <f aca="false">L382-I382*K382</f>
        <v>699</v>
      </c>
    </row>
    <row r="383" customFormat="false" ht="15" hidden="false" customHeight="false" outlineLevel="0" collapsed="false">
      <c r="A383" s="15" t="s">
        <v>425</v>
      </c>
      <c r="B383" s="16" t="n">
        <v>46014</v>
      </c>
      <c r="C383" s="17" t="n">
        <f aca="false">YEAR(B383)</f>
        <v>2025</v>
      </c>
      <c r="D383" s="17" t="n">
        <f aca="false">MONTH(B383)</f>
        <v>12</v>
      </c>
      <c r="E383" s="15" t="s">
        <v>37</v>
      </c>
      <c r="F383" s="15" t="s">
        <v>38</v>
      </c>
      <c r="G383" s="15" t="s">
        <v>35</v>
      </c>
      <c r="H383" s="15" t="s">
        <v>40</v>
      </c>
      <c r="I383" s="15" t="n">
        <v>1</v>
      </c>
      <c r="J383" s="18" t="n">
        <v>449</v>
      </c>
      <c r="K383" s="18" t="n">
        <v>260</v>
      </c>
      <c r="L383" s="19" t="n">
        <f aca="false">I383*J383</f>
        <v>449</v>
      </c>
      <c r="M383" s="19" t="n">
        <f aca="false">L383-I383*K383</f>
        <v>189</v>
      </c>
    </row>
    <row r="384" customFormat="false" ht="15" hidden="false" customHeight="false" outlineLevel="0" collapsed="false">
      <c r="A384" s="15" t="s">
        <v>426</v>
      </c>
      <c r="B384" s="16" t="n">
        <v>45414</v>
      </c>
      <c r="C384" s="17" t="n">
        <f aca="false">YEAR(B384)</f>
        <v>2024</v>
      </c>
      <c r="D384" s="17" t="n">
        <f aca="false">MONTH(B384)</f>
        <v>5</v>
      </c>
      <c r="E384" s="15" t="s">
        <v>48</v>
      </c>
      <c r="F384" s="15" t="s">
        <v>28</v>
      </c>
      <c r="G384" s="15" t="s">
        <v>39</v>
      </c>
      <c r="H384" s="15" t="s">
        <v>40</v>
      </c>
      <c r="I384" s="15" t="n">
        <v>1</v>
      </c>
      <c r="J384" s="18" t="n">
        <v>149</v>
      </c>
      <c r="K384" s="18" t="n">
        <v>60</v>
      </c>
      <c r="L384" s="19" t="n">
        <f aca="false">I384*J384</f>
        <v>149</v>
      </c>
      <c r="M384" s="19" t="n">
        <f aca="false">L384-I384*K384</f>
        <v>89</v>
      </c>
    </row>
    <row r="385" customFormat="false" ht="15" hidden="false" customHeight="false" outlineLevel="0" collapsed="false">
      <c r="A385" s="15" t="s">
        <v>427</v>
      </c>
      <c r="B385" s="16" t="n">
        <v>45948</v>
      </c>
      <c r="C385" s="17" t="n">
        <f aca="false">YEAR(B385)</f>
        <v>2025</v>
      </c>
      <c r="D385" s="17" t="n">
        <f aca="false">MONTH(B385)</f>
        <v>10</v>
      </c>
      <c r="E385" s="15" t="s">
        <v>33</v>
      </c>
      <c r="F385" s="15" t="s">
        <v>34</v>
      </c>
      <c r="G385" s="15" t="s">
        <v>39</v>
      </c>
      <c r="H385" s="15" t="s">
        <v>50</v>
      </c>
      <c r="I385" s="15" t="n">
        <v>2</v>
      </c>
      <c r="J385" s="18" t="n">
        <v>2799</v>
      </c>
      <c r="K385" s="18" t="n">
        <v>2100</v>
      </c>
      <c r="L385" s="19" t="n">
        <f aca="false">I385*J385</f>
        <v>5598</v>
      </c>
      <c r="M385" s="19" t="n">
        <f aca="false">L385-I385*K385</f>
        <v>1398</v>
      </c>
    </row>
    <row r="386" customFormat="false" ht="15" hidden="false" customHeight="false" outlineLevel="0" collapsed="false">
      <c r="A386" s="15" t="s">
        <v>428</v>
      </c>
      <c r="B386" s="16" t="n">
        <v>45671</v>
      </c>
      <c r="C386" s="17" t="n">
        <f aca="false">YEAR(B386)</f>
        <v>2025</v>
      </c>
      <c r="D386" s="17" t="n">
        <f aca="false">MONTH(B386)</f>
        <v>1</v>
      </c>
      <c r="E386" s="15" t="s">
        <v>27</v>
      </c>
      <c r="F386" s="15" t="s">
        <v>28</v>
      </c>
      <c r="G386" s="15" t="s">
        <v>39</v>
      </c>
      <c r="H386" s="15" t="s">
        <v>50</v>
      </c>
      <c r="I386" s="15" t="n">
        <v>2</v>
      </c>
      <c r="J386" s="18" t="n">
        <v>100</v>
      </c>
      <c r="K386" s="18" t="n">
        <v>88</v>
      </c>
      <c r="L386" s="19" t="n">
        <f aca="false">I386*J386</f>
        <v>200</v>
      </c>
      <c r="M386" s="19" t="n">
        <f aca="false">L386-I386*K386</f>
        <v>24</v>
      </c>
    </row>
    <row r="387" customFormat="false" ht="15" hidden="false" customHeight="false" outlineLevel="0" collapsed="false">
      <c r="A387" s="15" t="s">
        <v>429</v>
      </c>
      <c r="B387" s="16" t="n">
        <v>45652</v>
      </c>
      <c r="C387" s="17" t="n">
        <f aca="false">YEAR(B387)</f>
        <v>2024</v>
      </c>
      <c r="D387" s="17" t="n">
        <f aca="false">MONTH(B387)</f>
        <v>12</v>
      </c>
      <c r="E387" s="15" t="s">
        <v>62</v>
      </c>
      <c r="F387" s="15" t="s">
        <v>34</v>
      </c>
      <c r="G387" s="15" t="s">
        <v>35</v>
      </c>
      <c r="H387" s="15" t="s">
        <v>30</v>
      </c>
      <c r="I387" s="15" t="n">
        <v>1</v>
      </c>
      <c r="J387" s="18" t="n">
        <v>4499</v>
      </c>
      <c r="K387" s="18" t="n">
        <v>3400</v>
      </c>
      <c r="L387" s="19" t="n">
        <f aca="false">I387*J387</f>
        <v>4499</v>
      </c>
      <c r="M387" s="19" t="n">
        <f aca="false">L387-I387*K387</f>
        <v>1099</v>
      </c>
    </row>
    <row r="388" customFormat="false" ht="15" hidden="false" customHeight="false" outlineLevel="0" collapsed="false">
      <c r="A388" s="15" t="s">
        <v>430</v>
      </c>
      <c r="B388" s="16" t="n">
        <v>45817</v>
      </c>
      <c r="C388" s="17" t="n">
        <f aca="false">YEAR(B388)</f>
        <v>2025</v>
      </c>
      <c r="D388" s="17" t="n">
        <f aca="false">MONTH(B388)</f>
        <v>6</v>
      </c>
      <c r="E388" s="15" t="s">
        <v>48</v>
      </c>
      <c r="F388" s="15" t="s">
        <v>28</v>
      </c>
      <c r="G388" s="15" t="s">
        <v>43</v>
      </c>
      <c r="H388" s="15" t="s">
        <v>30</v>
      </c>
      <c r="I388" s="15" t="n">
        <v>4</v>
      </c>
      <c r="J388" s="18" t="n">
        <v>149</v>
      </c>
      <c r="K388" s="18" t="n">
        <v>60</v>
      </c>
      <c r="L388" s="19" t="n">
        <f aca="false">I388*J388</f>
        <v>596</v>
      </c>
      <c r="M388" s="19" t="n">
        <f aca="false">L388-I388*K388</f>
        <v>356</v>
      </c>
    </row>
    <row r="389" customFormat="false" ht="15" hidden="false" customHeight="false" outlineLevel="0" collapsed="false">
      <c r="A389" s="15" t="s">
        <v>431</v>
      </c>
      <c r="B389" s="16" t="n">
        <v>45297</v>
      </c>
      <c r="C389" s="17" t="n">
        <f aca="false">YEAR(B389)</f>
        <v>2024</v>
      </c>
      <c r="D389" s="17" t="n">
        <f aca="false">MONTH(B389)</f>
        <v>1</v>
      </c>
      <c r="E389" s="15" t="s">
        <v>27</v>
      </c>
      <c r="F389" s="15" t="s">
        <v>28</v>
      </c>
      <c r="G389" s="15" t="s">
        <v>29</v>
      </c>
      <c r="H389" s="15" t="s">
        <v>40</v>
      </c>
      <c r="I389" s="15" t="n">
        <v>3</v>
      </c>
      <c r="J389" s="18" t="n">
        <v>100</v>
      </c>
      <c r="K389" s="18" t="n">
        <v>88</v>
      </c>
      <c r="L389" s="19" t="n">
        <f aca="false">I389*J389</f>
        <v>300</v>
      </c>
      <c r="M389" s="19" t="n">
        <f aca="false">L389-I389*K389</f>
        <v>36</v>
      </c>
    </row>
    <row r="390" customFormat="false" ht="15" hidden="false" customHeight="false" outlineLevel="0" collapsed="false">
      <c r="A390" s="15" t="s">
        <v>432</v>
      </c>
      <c r="B390" s="16" t="n">
        <v>45960</v>
      </c>
      <c r="C390" s="17" t="n">
        <f aca="false">YEAR(B390)</f>
        <v>2025</v>
      </c>
      <c r="D390" s="17" t="n">
        <f aca="false">MONTH(B390)</f>
        <v>10</v>
      </c>
      <c r="E390" s="15" t="s">
        <v>33</v>
      </c>
      <c r="F390" s="15" t="s">
        <v>34</v>
      </c>
      <c r="G390" s="15" t="s">
        <v>55</v>
      </c>
      <c r="H390" s="15" t="s">
        <v>30</v>
      </c>
      <c r="I390" s="15" t="n">
        <v>2</v>
      </c>
      <c r="J390" s="18" t="n">
        <v>2799</v>
      </c>
      <c r="K390" s="18" t="n">
        <v>2100</v>
      </c>
      <c r="L390" s="19" t="n">
        <f aca="false">I390*J390</f>
        <v>5598</v>
      </c>
      <c r="M390" s="19" t="n">
        <f aca="false">L390-I390*K390</f>
        <v>1398</v>
      </c>
    </row>
    <row r="391" customFormat="false" ht="15" hidden="false" customHeight="false" outlineLevel="0" collapsed="false">
      <c r="A391" s="15" t="s">
        <v>433</v>
      </c>
      <c r="B391" s="16" t="n">
        <v>45675</v>
      </c>
      <c r="C391" s="17" t="n">
        <f aca="false">YEAR(B391)</f>
        <v>2025</v>
      </c>
      <c r="D391" s="17" t="n">
        <f aca="false">MONTH(B391)</f>
        <v>1</v>
      </c>
      <c r="E391" s="15" t="s">
        <v>37</v>
      </c>
      <c r="F391" s="15" t="s">
        <v>38</v>
      </c>
      <c r="G391" s="15" t="s">
        <v>29</v>
      </c>
      <c r="H391" s="15" t="s">
        <v>50</v>
      </c>
      <c r="I391" s="15" t="n">
        <v>2</v>
      </c>
      <c r="J391" s="18" t="n">
        <v>449</v>
      </c>
      <c r="K391" s="18" t="n">
        <v>260</v>
      </c>
      <c r="L391" s="19" t="n">
        <f aca="false">I391*J391</f>
        <v>898</v>
      </c>
      <c r="M391" s="19" t="n">
        <f aca="false">L391-I391*K391</f>
        <v>378</v>
      </c>
    </row>
    <row r="392" customFormat="false" ht="15" hidden="false" customHeight="false" outlineLevel="0" collapsed="false">
      <c r="A392" s="15" t="s">
        <v>434</v>
      </c>
      <c r="B392" s="16" t="n">
        <v>45985</v>
      </c>
      <c r="C392" s="17" t="n">
        <f aca="false">YEAR(B392)</f>
        <v>2025</v>
      </c>
      <c r="D392" s="17" t="n">
        <f aca="false">MONTH(B392)</f>
        <v>11</v>
      </c>
      <c r="E392" s="15" t="s">
        <v>27</v>
      </c>
      <c r="F392" s="15" t="s">
        <v>28</v>
      </c>
      <c r="G392" s="15" t="s">
        <v>29</v>
      </c>
      <c r="H392" s="15" t="s">
        <v>30</v>
      </c>
      <c r="I392" s="15" t="n">
        <v>4</v>
      </c>
      <c r="J392" s="18" t="n">
        <v>100</v>
      </c>
      <c r="K392" s="18" t="n">
        <v>88</v>
      </c>
      <c r="L392" s="19" t="n">
        <f aca="false">I392*J392</f>
        <v>400</v>
      </c>
      <c r="M392" s="19" t="n">
        <f aca="false">L392-I392*K392</f>
        <v>48</v>
      </c>
    </row>
    <row r="393" customFormat="false" ht="15" hidden="false" customHeight="false" outlineLevel="0" collapsed="false">
      <c r="A393" s="15" t="s">
        <v>435</v>
      </c>
      <c r="B393" s="16" t="n">
        <v>45328</v>
      </c>
      <c r="C393" s="17" t="n">
        <f aca="false">YEAR(B393)</f>
        <v>2024</v>
      </c>
      <c r="D393" s="17" t="n">
        <f aca="false">MONTH(B393)</f>
        <v>2</v>
      </c>
      <c r="E393" s="15" t="s">
        <v>33</v>
      </c>
      <c r="F393" s="15" t="s">
        <v>34</v>
      </c>
      <c r="G393" s="15" t="s">
        <v>39</v>
      </c>
      <c r="H393" s="15" t="s">
        <v>40</v>
      </c>
      <c r="I393" s="15" t="n">
        <v>1</v>
      </c>
      <c r="J393" s="18" t="n">
        <v>2799</v>
      </c>
      <c r="K393" s="18" t="n">
        <v>2100</v>
      </c>
      <c r="L393" s="19" t="n">
        <f aca="false">I393*J393</f>
        <v>2799</v>
      </c>
      <c r="M393" s="19" t="n">
        <f aca="false">L393-I393*K393</f>
        <v>699</v>
      </c>
    </row>
    <row r="394" customFormat="false" ht="15" hidden="false" customHeight="false" outlineLevel="0" collapsed="false">
      <c r="A394" s="15" t="s">
        <v>436</v>
      </c>
      <c r="B394" s="16" t="n">
        <v>45674</v>
      </c>
      <c r="C394" s="17" t="n">
        <f aca="false">YEAR(B394)</f>
        <v>2025</v>
      </c>
      <c r="D394" s="17" t="n">
        <f aca="false">MONTH(B394)</f>
        <v>1</v>
      </c>
      <c r="E394" s="15" t="s">
        <v>27</v>
      </c>
      <c r="F394" s="15" t="s">
        <v>28</v>
      </c>
      <c r="G394" s="15" t="s">
        <v>29</v>
      </c>
      <c r="H394" s="15" t="s">
        <v>50</v>
      </c>
      <c r="I394" s="15" t="n">
        <v>2</v>
      </c>
      <c r="J394" s="18" t="n">
        <v>100</v>
      </c>
      <c r="K394" s="18" t="n">
        <v>88</v>
      </c>
      <c r="L394" s="19" t="n">
        <f aca="false">I394*J394</f>
        <v>200</v>
      </c>
      <c r="M394" s="19" t="n">
        <f aca="false">L394-I394*K394</f>
        <v>24</v>
      </c>
    </row>
    <row r="395" customFormat="false" ht="15" hidden="false" customHeight="false" outlineLevel="0" collapsed="false">
      <c r="A395" s="15" t="s">
        <v>437</v>
      </c>
      <c r="B395" s="16" t="n">
        <v>45686</v>
      </c>
      <c r="C395" s="17" t="n">
        <f aca="false">YEAR(B395)</f>
        <v>2025</v>
      </c>
      <c r="D395" s="17" t="n">
        <f aca="false">MONTH(B395)</f>
        <v>1</v>
      </c>
      <c r="E395" s="15" t="s">
        <v>27</v>
      </c>
      <c r="F395" s="15" t="s">
        <v>28</v>
      </c>
      <c r="G395" s="15" t="s">
        <v>29</v>
      </c>
      <c r="H395" s="15" t="s">
        <v>30</v>
      </c>
      <c r="I395" s="15" t="n">
        <v>1</v>
      </c>
      <c r="J395" s="18" t="n">
        <v>100</v>
      </c>
      <c r="K395" s="18" t="n">
        <v>88</v>
      </c>
      <c r="L395" s="19" t="n">
        <f aca="false">I395*J395</f>
        <v>100</v>
      </c>
      <c r="M395" s="19" t="n">
        <f aca="false">L395-I395*K395</f>
        <v>12</v>
      </c>
    </row>
    <row r="396" customFormat="false" ht="15" hidden="false" customHeight="false" outlineLevel="0" collapsed="false">
      <c r="A396" s="15" t="s">
        <v>438</v>
      </c>
      <c r="B396" s="16" t="n">
        <v>45531</v>
      </c>
      <c r="C396" s="17" t="n">
        <f aca="false">YEAR(B396)</f>
        <v>2024</v>
      </c>
      <c r="D396" s="17" t="n">
        <f aca="false">MONTH(B396)</f>
        <v>8</v>
      </c>
      <c r="E396" s="15" t="s">
        <v>37</v>
      </c>
      <c r="F396" s="15" t="s">
        <v>38</v>
      </c>
      <c r="G396" s="15" t="s">
        <v>39</v>
      </c>
      <c r="H396" s="15" t="s">
        <v>30</v>
      </c>
      <c r="I396" s="15" t="n">
        <v>3</v>
      </c>
      <c r="J396" s="18" t="n">
        <v>449</v>
      </c>
      <c r="K396" s="18" t="n">
        <v>260</v>
      </c>
      <c r="L396" s="19" t="n">
        <f aca="false">I396*J396</f>
        <v>1347</v>
      </c>
      <c r="M396" s="19" t="n">
        <f aca="false">L396-I396*K396</f>
        <v>567</v>
      </c>
    </row>
    <row r="397" customFormat="false" ht="15" hidden="false" customHeight="false" outlineLevel="0" collapsed="false">
      <c r="A397" s="15" t="s">
        <v>439</v>
      </c>
      <c r="B397" s="16" t="n">
        <v>45350</v>
      </c>
      <c r="C397" s="17" t="n">
        <f aca="false">YEAR(B397)</f>
        <v>2024</v>
      </c>
      <c r="D397" s="17" t="n">
        <f aca="false">MONTH(B397)</f>
        <v>2</v>
      </c>
      <c r="E397" s="15" t="s">
        <v>33</v>
      </c>
      <c r="F397" s="15" t="s">
        <v>34</v>
      </c>
      <c r="G397" s="15" t="s">
        <v>29</v>
      </c>
      <c r="H397" s="15" t="s">
        <v>30</v>
      </c>
      <c r="I397" s="15" t="n">
        <v>2</v>
      </c>
      <c r="J397" s="18" t="n">
        <v>2799</v>
      </c>
      <c r="K397" s="18" t="n">
        <v>2100</v>
      </c>
      <c r="L397" s="19" t="n">
        <f aca="false">I397*J397</f>
        <v>5598</v>
      </c>
      <c r="M397" s="19" t="n">
        <f aca="false">L397-I397*K397</f>
        <v>1398</v>
      </c>
    </row>
    <row r="398" customFormat="false" ht="15" hidden="false" customHeight="false" outlineLevel="0" collapsed="false">
      <c r="A398" s="15" t="s">
        <v>440</v>
      </c>
      <c r="B398" s="16" t="n">
        <v>45444</v>
      </c>
      <c r="C398" s="17" t="n">
        <f aca="false">YEAR(B398)</f>
        <v>2024</v>
      </c>
      <c r="D398" s="17" t="n">
        <f aca="false">MONTH(B398)</f>
        <v>6</v>
      </c>
      <c r="E398" s="15" t="s">
        <v>37</v>
      </c>
      <c r="F398" s="15" t="s">
        <v>38</v>
      </c>
      <c r="G398" s="15" t="s">
        <v>39</v>
      </c>
      <c r="H398" s="15" t="s">
        <v>30</v>
      </c>
      <c r="I398" s="15" t="n">
        <v>4</v>
      </c>
      <c r="J398" s="18" t="n">
        <v>449</v>
      </c>
      <c r="K398" s="18" t="n">
        <v>260</v>
      </c>
      <c r="L398" s="19" t="n">
        <f aca="false">I398*J398</f>
        <v>1796</v>
      </c>
      <c r="M398" s="19" t="n">
        <f aca="false">L398-I398*K398</f>
        <v>756</v>
      </c>
    </row>
    <row r="399" customFormat="false" ht="15" hidden="false" customHeight="false" outlineLevel="0" collapsed="false">
      <c r="A399" s="15" t="s">
        <v>441</v>
      </c>
      <c r="B399" s="16" t="n">
        <v>45876</v>
      </c>
      <c r="C399" s="17" t="n">
        <f aca="false">YEAR(B399)</f>
        <v>2025</v>
      </c>
      <c r="D399" s="17" t="n">
        <f aca="false">MONTH(B399)</f>
        <v>8</v>
      </c>
      <c r="E399" s="15" t="s">
        <v>27</v>
      </c>
      <c r="F399" s="15" t="s">
        <v>28</v>
      </c>
      <c r="G399" s="15" t="s">
        <v>35</v>
      </c>
      <c r="H399" s="15" t="s">
        <v>30</v>
      </c>
      <c r="I399" s="15" t="n">
        <v>3</v>
      </c>
      <c r="J399" s="18" t="n">
        <v>100</v>
      </c>
      <c r="K399" s="18" t="n">
        <v>88</v>
      </c>
      <c r="L399" s="19" t="n">
        <f aca="false">I399*J399</f>
        <v>300</v>
      </c>
      <c r="M399" s="19" t="n">
        <f aca="false">L399-I399*K399</f>
        <v>36</v>
      </c>
    </row>
    <row r="400" customFormat="false" ht="15" hidden="false" customHeight="false" outlineLevel="0" collapsed="false">
      <c r="A400" s="15" t="s">
        <v>442</v>
      </c>
      <c r="B400" s="16" t="n">
        <v>45403</v>
      </c>
      <c r="C400" s="17" t="n">
        <f aca="false">YEAR(B400)</f>
        <v>2024</v>
      </c>
      <c r="D400" s="17" t="n">
        <f aca="false">MONTH(B400)</f>
        <v>4</v>
      </c>
      <c r="E400" s="15" t="s">
        <v>37</v>
      </c>
      <c r="F400" s="15" t="s">
        <v>38</v>
      </c>
      <c r="G400" s="15" t="s">
        <v>39</v>
      </c>
      <c r="H400" s="15" t="s">
        <v>50</v>
      </c>
      <c r="I400" s="15" t="n">
        <v>4</v>
      </c>
      <c r="J400" s="18" t="n">
        <v>449</v>
      </c>
      <c r="K400" s="18" t="n">
        <v>260</v>
      </c>
      <c r="L400" s="19" t="n">
        <f aca="false">I400*J400</f>
        <v>1796</v>
      </c>
      <c r="M400" s="19" t="n">
        <f aca="false">L400-I400*K400</f>
        <v>756</v>
      </c>
    </row>
    <row r="401" customFormat="false" ht="15" hidden="false" customHeight="false" outlineLevel="0" collapsed="false">
      <c r="A401" s="15" t="s">
        <v>443</v>
      </c>
      <c r="B401" s="16" t="n">
        <v>45350</v>
      </c>
      <c r="C401" s="17" t="n">
        <f aca="false">YEAR(B401)</f>
        <v>2024</v>
      </c>
      <c r="D401" s="17" t="n">
        <f aca="false">MONTH(B401)</f>
        <v>2</v>
      </c>
      <c r="E401" s="15" t="s">
        <v>48</v>
      </c>
      <c r="F401" s="15" t="s">
        <v>28</v>
      </c>
      <c r="G401" s="15" t="s">
        <v>29</v>
      </c>
      <c r="H401" s="15" t="s">
        <v>50</v>
      </c>
      <c r="I401" s="15" t="n">
        <v>2</v>
      </c>
      <c r="J401" s="18" t="n">
        <v>149</v>
      </c>
      <c r="K401" s="18" t="n">
        <v>60</v>
      </c>
      <c r="L401" s="19" t="n">
        <f aca="false">I401*J401</f>
        <v>298</v>
      </c>
      <c r="M401" s="19" t="n">
        <f aca="false">L401-I401*K401</f>
        <v>178</v>
      </c>
    </row>
    <row r="402" customFormat="false" ht="15" hidden="false" customHeight="false" outlineLevel="0" collapsed="false">
      <c r="A402" s="15" t="s">
        <v>444</v>
      </c>
      <c r="B402" s="16" t="n">
        <v>45414</v>
      </c>
      <c r="C402" s="17" t="n">
        <f aca="false">YEAR(B402)</f>
        <v>2024</v>
      </c>
      <c r="D402" s="17" t="n">
        <f aca="false">MONTH(B402)</f>
        <v>5</v>
      </c>
      <c r="E402" s="15" t="s">
        <v>37</v>
      </c>
      <c r="F402" s="15" t="s">
        <v>38</v>
      </c>
      <c r="G402" s="15" t="s">
        <v>35</v>
      </c>
      <c r="H402" s="15" t="s">
        <v>40</v>
      </c>
      <c r="I402" s="15" t="n">
        <v>2</v>
      </c>
      <c r="J402" s="18" t="n">
        <v>449</v>
      </c>
      <c r="K402" s="18" t="n">
        <v>260</v>
      </c>
      <c r="L402" s="19" t="n">
        <f aca="false">I402*J402</f>
        <v>898</v>
      </c>
      <c r="M402" s="19" t="n">
        <f aca="false">L402-I402*K402</f>
        <v>378</v>
      </c>
    </row>
    <row r="403" customFormat="false" ht="15" hidden="false" customHeight="false" outlineLevel="0" collapsed="false">
      <c r="A403" s="15" t="s">
        <v>445</v>
      </c>
      <c r="B403" s="16" t="n">
        <v>45559</v>
      </c>
      <c r="C403" s="17" t="n">
        <f aca="false">YEAR(B403)</f>
        <v>2024</v>
      </c>
      <c r="D403" s="17" t="n">
        <f aca="false">MONTH(B403)</f>
        <v>9</v>
      </c>
      <c r="E403" s="15" t="s">
        <v>27</v>
      </c>
      <c r="F403" s="15" t="s">
        <v>28</v>
      </c>
      <c r="G403" s="15" t="s">
        <v>39</v>
      </c>
      <c r="H403" s="15" t="s">
        <v>30</v>
      </c>
      <c r="I403" s="15" t="n">
        <v>2</v>
      </c>
      <c r="J403" s="18" t="n">
        <v>100</v>
      </c>
      <c r="K403" s="18" t="n">
        <v>88</v>
      </c>
      <c r="L403" s="19" t="n">
        <f aca="false">I403*J403</f>
        <v>200</v>
      </c>
      <c r="M403" s="19" t="n">
        <f aca="false">L403-I403*K403</f>
        <v>24</v>
      </c>
    </row>
    <row r="404" customFormat="false" ht="15" hidden="false" customHeight="false" outlineLevel="0" collapsed="false">
      <c r="A404" s="15" t="s">
        <v>446</v>
      </c>
      <c r="B404" s="16" t="n">
        <v>45458</v>
      </c>
      <c r="C404" s="17" t="n">
        <f aca="false">YEAR(B404)</f>
        <v>2024</v>
      </c>
      <c r="D404" s="17" t="n">
        <f aca="false">MONTH(B404)</f>
        <v>6</v>
      </c>
      <c r="E404" s="15" t="s">
        <v>62</v>
      </c>
      <c r="F404" s="15" t="s">
        <v>34</v>
      </c>
      <c r="G404" s="15" t="s">
        <v>39</v>
      </c>
      <c r="H404" s="15" t="s">
        <v>40</v>
      </c>
      <c r="I404" s="15" t="n">
        <v>2</v>
      </c>
      <c r="J404" s="18" t="n">
        <v>4499</v>
      </c>
      <c r="K404" s="18" t="n">
        <v>3400</v>
      </c>
      <c r="L404" s="19" t="n">
        <f aca="false">I404*J404</f>
        <v>8998</v>
      </c>
      <c r="M404" s="19" t="n">
        <f aca="false">L404-I404*K404</f>
        <v>2198</v>
      </c>
    </row>
    <row r="405" customFormat="false" ht="15" hidden="false" customHeight="false" outlineLevel="0" collapsed="false">
      <c r="A405" s="15" t="s">
        <v>447</v>
      </c>
      <c r="B405" s="16" t="n">
        <v>45744</v>
      </c>
      <c r="C405" s="17" t="n">
        <f aca="false">YEAR(B405)</f>
        <v>2025</v>
      </c>
      <c r="D405" s="17" t="n">
        <f aca="false">MONTH(B405)</f>
        <v>3</v>
      </c>
      <c r="E405" s="15" t="s">
        <v>48</v>
      </c>
      <c r="F405" s="15" t="s">
        <v>28</v>
      </c>
      <c r="G405" s="15" t="s">
        <v>29</v>
      </c>
      <c r="H405" s="15" t="s">
        <v>40</v>
      </c>
      <c r="I405" s="15" t="n">
        <v>3</v>
      </c>
      <c r="J405" s="18" t="n">
        <v>149</v>
      </c>
      <c r="K405" s="18" t="n">
        <v>60</v>
      </c>
      <c r="L405" s="19" t="n">
        <f aca="false">I405*J405</f>
        <v>447</v>
      </c>
      <c r="M405" s="19" t="n">
        <f aca="false">L405-I405*K405</f>
        <v>267</v>
      </c>
    </row>
    <row r="406" customFormat="false" ht="15" hidden="false" customHeight="false" outlineLevel="0" collapsed="false">
      <c r="A406" s="15" t="s">
        <v>448</v>
      </c>
      <c r="B406" s="16" t="n">
        <v>45831</v>
      </c>
      <c r="C406" s="17" t="n">
        <f aca="false">YEAR(B406)</f>
        <v>2025</v>
      </c>
      <c r="D406" s="17" t="n">
        <f aca="false">MONTH(B406)</f>
        <v>6</v>
      </c>
      <c r="E406" s="15" t="s">
        <v>37</v>
      </c>
      <c r="F406" s="15" t="s">
        <v>38</v>
      </c>
      <c r="G406" s="15" t="s">
        <v>29</v>
      </c>
      <c r="H406" s="15" t="s">
        <v>50</v>
      </c>
      <c r="I406" s="15" t="n">
        <v>3</v>
      </c>
      <c r="J406" s="18" t="n">
        <v>449</v>
      </c>
      <c r="K406" s="18" t="n">
        <v>260</v>
      </c>
      <c r="L406" s="19" t="n">
        <f aca="false">I406*J406</f>
        <v>1347</v>
      </c>
      <c r="M406" s="19" t="n">
        <f aca="false">L406-I406*K406</f>
        <v>567</v>
      </c>
    </row>
    <row r="407" customFormat="false" ht="15" hidden="false" customHeight="false" outlineLevel="0" collapsed="false">
      <c r="A407" s="15" t="s">
        <v>449</v>
      </c>
      <c r="B407" s="16" t="n">
        <v>45515</v>
      </c>
      <c r="C407" s="17" t="n">
        <f aca="false">YEAR(B407)</f>
        <v>2024</v>
      </c>
      <c r="D407" s="17" t="n">
        <f aca="false">MONTH(B407)</f>
        <v>8</v>
      </c>
      <c r="E407" s="15" t="s">
        <v>37</v>
      </c>
      <c r="F407" s="15" t="s">
        <v>38</v>
      </c>
      <c r="G407" s="15" t="s">
        <v>39</v>
      </c>
      <c r="H407" s="15" t="s">
        <v>30</v>
      </c>
      <c r="I407" s="15" t="n">
        <v>2</v>
      </c>
      <c r="J407" s="18" t="n">
        <v>449</v>
      </c>
      <c r="K407" s="18" t="n">
        <v>260</v>
      </c>
      <c r="L407" s="19" t="n">
        <f aca="false">I407*J407</f>
        <v>898</v>
      </c>
      <c r="M407" s="19" t="n">
        <f aca="false">L407-I407*K407</f>
        <v>378</v>
      </c>
    </row>
    <row r="408" customFormat="false" ht="15" hidden="false" customHeight="false" outlineLevel="0" collapsed="false">
      <c r="A408" s="15" t="s">
        <v>450</v>
      </c>
      <c r="B408" s="16" t="n">
        <v>45527</v>
      </c>
      <c r="C408" s="17" t="n">
        <f aca="false">YEAR(B408)</f>
        <v>2024</v>
      </c>
      <c r="D408" s="17" t="n">
        <f aca="false">MONTH(B408)</f>
        <v>8</v>
      </c>
      <c r="E408" s="15" t="s">
        <v>48</v>
      </c>
      <c r="F408" s="15" t="s">
        <v>28</v>
      </c>
      <c r="G408" s="15" t="s">
        <v>29</v>
      </c>
      <c r="H408" s="15" t="s">
        <v>50</v>
      </c>
      <c r="I408" s="15" t="n">
        <v>2</v>
      </c>
      <c r="J408" s="18" t="n">
        <v>149</v>
      </c>
      <c r="K408" s="18" t="n">
        <v>60</v>
      </c>
      <c r="L408" s="19" t="n">
        <f aca="false">I408*J408</f>
        <v>298</v>
      </c>
      <c r="M408" s="19" t="n">
        <f aca="false">L408-I408*K408</f>
        <v>178</v>
      </c>
    </row>
    <row r="409" customFormat="false" ht="15" hidden="false" customHeight="false" outlineLevel="0" collapsed="false">
      <c r="A409" s="15" t="s">
        <v>451</v>
      </c>
      <c r="B409" s="16" t="n">
        <v>45915</v>
      </c>
      <c r="C409" s="17" t="n">
        <f aca="false">YEAR(B409)</f>
        <v>2025</v>
      </c>
      <c r="D409" s="17" t="n">
        <f aca="false">MONTH(B409)</f>
        <v>9</v>
      </c>
      <c r="E409" s="15" t="s">
        <v>48</v>
      </c>
      <c r="F409" s="15" t="s">
        <v>28</v>
      </c>
      <c r="G409" s="15" t="s">
        <v>39</v>
      </c>
      <c r="H409" s="15" t="s">
        <v>30</v>
      </c>
      <c r="I409" s="15" t="n">
        <v>3</v>
      </c>
      <c r="J409" s="18" t="n">
        <v>149</v>
      </c>
      <c r="K409" s="18" t="n">
        <v>60</v>
      </c>
      <c r="L409" s="19" t="n">
        <f aca="false">I409*J409</f>
        <v>447</v>
      </c>
      <c r="M409" s="19" t="n">
        <f aca="false">L409-I409*K409</f>
        <v>267</v>
      </c>
    </row>
    <row r="410" customFormat="false" ht="15" hidden="false" customHeight="false" outlineLevel="0" collapsed="false">
      <c r="A410" s="15" t="s">
        <v>452</v>
      </c>
      <c r="B410" s="16" t="n">
        <v>45977</v>
      </c>
      <c r="C410" s="17" t="n">
        <f aca="false">YEAR(B410)</f>
        <v>2025</v>
      </c>
      <c r="D410" s="17" t="n">
        <f aca="false">MONTH(B410)</f>
        <v>11</v>
      </c>
      <c r="E410" s="15" t="s">
        <v>48</v>
      </c>
      <c r="F410" s="15" t="s">
        <v>28</v>
      </c>
      <c r="G410" s="15" t="s">
        <v>29</v>
      </c>
      <c r="H410" s="15" t="s">
        <v>30</v>
      </c>
      <c r="I410" s="15" t="n">
        <v>2</v>
      </c>
      <c r="J410" s="18" t="n">
        <v>149</v>
      </c>
      <c r="K410" s="18" t="n">
        <v>60</v>
      </c>
      <c r="L410" s="19" t="n">
        <f aca="false">I410*J410</f>
        <v>298</v>
      </c>
      <c r="M410" s="19" t="n">
        <f aca="false">L410-I410*K410</f>
        <v>178</v>
      </c>
    </row>
    <row r="411" customFormat="false" ht="15" hidden="false" customHeight="false" outlineLevel="0" collapsed="false">
      <c r="A411" s="15" t="s">
        <v>453</v>
      </c>
      <c r="B411" s="16" t="n">
        <v>45359</v>
      </c>
      <c r="C411" s="17" t="n">
        <f aca="false">YEAR(B411)</f>
        <v>2024</v>
      </c>
      <c r="D411" s="17" t="n">
        <f aca="false">MONTH(B411)</f>
        <v>3</v>
      </c>
      <c r="E411" s="15" t="s">
        <v>48</v>
      </c>
      <c r="F411" s="15" t="s">
        <v>28</v>
      </c>
      <c r="G411" s="15" t="s">
        <v>35</v>
      </c>
      <c r="H411" s="15" t="s">
        <v>50</v>
      </c>
      <c r="I411" s="15" t="n">
        <v>4</v>
      </c>
      <c r="J411" s="18" t="n">
        <v>149</v>
      </c>
      <c r="K411" s="18" t="n">
        <v>60</v>
      </c>
      <c r="L411" s="19" t="n">
        <f aca="false">I411*J411</f>
        <v>596</v>
      </c>
      <c r="M411" s="19" t="n">
        <f aca="false">L411-I411*K411</f>
        <v>356</v>
      </c>
    </row>
    <row r="412" customFormat="false" ht="15" hidden="false" customHeight="false" outlineLevel="0" collapsed="false">
      <c r="A412" s="15" t="s">
        <v>454</v>
      </c>
      <c r="B412" s="16" t="n">
        <v>45822</v>
      </c>
      <c r="C412" s="17" t="n">
        <f aca="false">YEAR(B412)</f>
        <v>2025</v>
      </c>
      <c r="D412" s="17" t="n">
        <f aca="false">MONTH(B412)</f>
        <v>6</v>
      </c>
      <c r="E412" s="15" t="s">
        <v>48</v>
      </c>
      <c r="F412" s="15" t="s">
        <v>28</v>
      </c>
      <c r="G412" s="15" t="s">
        <v>55</v>
      </c>
      <c r="H412" s="15" t="s">
        <v>40</v>
      </c>
      <c r="I412" s="15" t="n">
        <v>3</v>
      </c>
      <c r="J412" s="18" t="n">
        <v>149</v>
      </c>
      <c r="K412" s="18" t="n">
        <v>60</v>
      </c>
      <c r="L412" s="19" t="n">
        <f aca="false">I412*J412</f>
        <v>447</v>
      </c>
      <c r="M412" s="19" t="n">
        <f aca="false">L412-I412*K412</f>
        <v>267</v>
      </c>
    </row>
    <row r="413" customFormat="false" ht="15" hidden="false" customHeight="false" outlineLevel="0" collapsed="false">
      <c r="A413" s="15" t="s">
        <v>455</v>
      </c>
      <c r="B413" s="16" t="n">
        <v>45796</v>
      </c>
      <c r="C413" s="17" t="n">
        <f aca="false">YEAR(B413)</f>
        <v>2025</v>
      </c>
      <c r="D413" s="17" t="n">
        <f aca="false">MONTH(B413)</f>
        <v>5</v>
      </c>
      <c r="E413" s="15" t="s">
        <v>33</v>
      </c>
      <c r="F413" s="15" t="s">
        <v>34</v>
      </c>
      <c r="G413" s="15" t="s">
        <v>35</v>
      </c>
      <c r="H413" s="15" t="s">
        <v>40</v>
      </c>
      <c r="I413" s="15" t="n">
        <v>2</v>
      </c>
      <c r="J413" s="18" t="n">
        <v>2799</v>
      </c>
      <c r="K413" s="18" t="n">
        <v>2100</v>
      </c>
      <c r="L413" s="19" t="n">
        <f aca="false">I413*J413</f>
        <v>5598</v>
      </c>
      <c r="M413" s="19" t="n">
        <f aca="false">L413-I413*K413</f>
        <v>1398</v>
      </c>
    </row>
    <row r="414" customFormat="false" ht="15" hidden="false" customHeight="false" outlineLevel="0" collapsed="false">
      <c r="A414" s="15" t="s">
        <v>456</v>
      </c>
      <c r="B414" s="16" t="n">
        <v>45973</v>
      </c>
      <c r="C414" s="17" t="n">
        <f aca="false">YEAR(B414)</f>
        <v>2025</v>
      </c>
      <c r="D414" s="17" t="n">
        <f aca="false">MONTH(B414)</f>
        <v>11</v>
      </c>
      <c r="E414" s="15" t="s">
        <v>37</v>
      </c>
      <c r="F414" s="15" t="s">
        <v>38</v>
      </c>
      <c r="G414" s="15" t="s">
        <v>29</v>
      </c>
      <c r="H414" s="15" t="s">
        <v>50</v>
      </c>
      <c r="I414" s="15" t="n">
        <v>2</v>
      </c>
      <c r="J414" s="18" t="n">
        <v>449</v>
      </c>
      <c r="K414" s="18" t="n">
        <v>260</v>
      </c>
      <c r="L414" s="19" t="n">
        <f aca="false">I414*J414</f>
        <v>898</v>
      </c>
      <c r="M414" s="19" t="n">
        <f aca="false">L414-I414*K414</f>
        <v>378</v>
      </c>
    </row>
    <row r="415" customFormat="false" ht="15" hidden="false" customHeight="false" outlineLevel="0" collapsed="false">
      <c r="A415" s="15" t="s">
        <v>457</v>
      </c>
      <c r="B415" s="16" t="n">
        <v>45329</v>
      </c>
      <c r="C415" s="17" t="n">
        <f aca="false">YEAR(B415)</f>
        <v>2024</v>
      </c>
      <c r="D415" s="17" t="n">
        <f aca="false">MONTH(B415)</f>
        <v>2</v>
      </c>
      <c r="E415" s="15" t="s">
        <v>33</v>
      </c>
      <c r="F415" s="15" t="s">
        <v>34</v>
      </c>
      <c r="G415" s="15" t="s">
        <v>29</v>
      </c>
      <c r="H415" s="15" t="s">
        <v>50</v>
      </c>
      <c r="I415" s="15" t="n">
        <v>2</v>
      </c>
      <c r="J415" s="18" t="n">
        <v>2799</v>
      </c>
      <c r="K415" s="18" t="n">
        <v>2100</v>
      </c>
      <c r="L415" s="19" t="n">
        <f aca="false">I415*J415</f>
        <v>5598</v>
      </c>
      <c r="M415" s="19" t="n">
        <f aca="false">L415-I415*K415</f>
        <v>1398</v>
      </c>
    </row>
    <row r="416" customFormat="false" ht="15" hidden="false" customHeight="false" outlineLevel="0" collapsed="false">
      <c r="A416" s="15" t="s">
        <v>458</v>
      </c>
      <c r="B416" s="16" t="n">
        <v>45656</v>
      </c>
      <c r="C416" s="17" t="n">
        <f aca="false">YEAR(B416)</f>
        <v>2024</v>
      </c>
      <c r="D416" s="17" t="n">
        <f aca="false">MONTH(B416)</f>
        <v>12</v>
      </c>
      <c r="E416" s="15" t="s">
        <v>57</v>
      </c>
      <c r="F416" s="15" t="s">
        <v>38</v>
      </c>
      <c r="G416" s="15" t="s">
        <v>35</v>
      </c>
      <c r="H416" s="15" t="s">
        <v>30</v>
      </c>
      <c r="I416" s="15" t="n">
        <v>4</v>
      </c>
      <c r="J416" s="18" t="n">
        <v>699</v>
      </c>
      <c r="K416" s="18" t="n">
        <v>420</v>
      </c>
      <c r="L416" s="19" t="n">
        <f aca="false">I416*J416</f>
        <v>2796</v>
      </c>
      <c r="M416" s="19" t="n">
        <f aca="false">L416-I416*K416</f>
        <v>1116</v>
      </c>
    </row>
    <row r="417" customFormat="false" ht="15" hidden="false" customHeight="false" outlineLevel="0" collapsed="false">
      <c r="A417" s="15" t="s">
        <v>459</v>
      </c>
      <c r="B417" s="16" t="n">
        <v>45657</v>
      </c>
      <c r="C417" s="17" t="n">
        <f aca="false">YEAR(B417)</f>
        <v>2024</v>
      </c>
      <c r="D417" s="17" t="n">
        <f aca="false">MONTH(B417)</f>
        <v>12</v>
      </c>
      <c r="E417" s="15" t="s">
        <v>48</v>
      </c>
      <c r="F417" s="15" t="s">
        <v>28</v>
      </c>
      <c r="G417" s="15" t="s">
        <v>29</v>
      </c>
      <c r="H417" s="15" t="s">
        <v>50</v>
      </c>
      <c r="I417" s="15" t="n">
        <v>3</v>
      </c>
      <c r="J417" s="18" t="n">
        <v>149</v>
      </c>
      <c r="K417" s="18" t="n">
        <v>60</v>
      </c>
      <c r="L417" s="19" t="n">
        <f aca="false">I417*J417</f>
        <v>447</v>
      </c>
      <c r="M417" s="19" t="n">
        <f aca="false">L417-I417*K417</f>
        <v>267</v>
      </c>
    </row>
    <row r="418" customFormat="false" ht="15" hidden="false" customHeight="false" outlineLevel="0" collapsed="false">
      <c r="A418" s="15" t="s">
        <v>460</v>
      </c>
      <c r="B418" s="16" t="n">
        <v>45882</v>
      </c>
      <c r="C418" s="17" t="n">
        <f aca="false">YEAR(B418)</f>
        <v>2025</v>
      </c>
      <c r="D418" s="17" t="n">
        <f aca="false">MONTH(B418)</f>
        <v>8</v>
      </c>
      <c r="E418" s="15" t="s">
        <v>48</v>
      </c>
      <c r="F418" s="15" t="s">
        <v>28</v>
      </c>
      <c r="G418" s="15" t="s">
        <v>55</v>
      </c>
      <c r="H418" s="15" t="s">
        <v>30</v>
      </c>
      <c r="I418" s="15" t="n">
        <v>1</v>
      </c>
      <c r="J418" s="18" t="n">
        <v>149</v>
      </c>
      <c r="K418" s="18" t="n">
        <v>60</v>
      </c>
      <c r="L418" s="19" t="n">
        <f aca="false">I418*J418</f>
        <v>149</v>
      </c>
      <c r="M418" s="19" t="n">
        <f aca="false">L418-I418*K418</f>
        <v>89</v>
      </c>
    </row>
    <row r="419" customFormat="false" ht="15" hidden="false" customHeight="false" outlineLevel="0" collapsed="false">
      <c r="A419" s="15" t="s">
        <v>461</v>
      </c>
      <c r="B419" s="16" t="n">
        <v>45798</v>
      </c>
      <c r="C419" s="17" t="n">
        <f aca="false">YEAR(B419)</f>
        <v>2025</v>
      </c>
      <c r="D419" s="17" t="n">
        <f aca="false">MONTH(B419)</f>
        <v>5</v>
      </c>
      <c r="E419" s="15" t="s">
        <v>37</v>
      </c>
      <c r="F419" s="15" t="s">
        <v>38</v>
      </c>
      <c r="G419" s="15" t="s">
        <v>29</v>
      </c>
      <c r="H419" s="15" t="s">
        <v>40</v>
      </c>
      <c r="I419" s="15" t="n">
        <v>1</v>
      </c>
      <c r="J419" s="18" t="n">
        <v>449</v>
      </c>
      <c r="K419" s="18" t="n">
        <v>260</v>
      </c>
      <c r="L419" s="19" t="n">
        <f aca="false">I419*J419</f>
        <v>449</v>
      </c>
      <c r="M419" s="19" t="n">
        <f aca="false">L419-I419*K419</f>
        <v>189</v>
      </c>
    </row>
    <row r="420" customFormat="false" ht="15" hidden="false" customHeight="false" outlineLevel="0" collapsed="false">
      <c r="A420" s="15" t="s">
        <v>462</v>
      </c>
      <c r="B420" s="16" t="n">
        <v>45313</v>
      </c>
      <c r="C420" s="17" t="n">
        <f aca="false">YEAR(B420)</f>
        <v>2024</v>
      </c>
      <c r="D420" s="17" t="n">
        <f aca="false">MONTH(B420)</f>
        <v>1</v>
      </c>
      <c r="E420" s="15" t="s">
        <v>37</v>
      </c>
      <c r="F420" s="15" t="s">
        <v>38</v>
      </c>
      <c r="G420" s="15" t="s">
        <v>39</v>
      </c>
      <c r="H420" s="15" t="s">
        <v>30</v>
      </c>
      <c r="I420" s="15" t="n">
        <v>1</v>
      </c>
      <c r="J420" s="18" t="n">
        <v>449</v>
      </c>
      <c r="K420" s="18" t="n">
        <v>260</v>
      </c>
      <c r="L420" s="19" t="n">
        <f aca="false">I420*J420</f>
        <v>449</v>
      </c>
      <c r="M420" s="19" t="n">
        <f aca="false">L420-I420*K420</f>
        <v>189</v>
      </c>
    </row>
    <row r="421" customFormat="false" ht="15" hidden="false" customHeight="false" outlineLevel="0" collapsed="false">
      <c r="A421" s="15" t="s">
        <v>463</v>
      </c>
      <c r="B421" s="16" t="n">
        <v>45397</v>
      </c>
      <c r="C421" s="17" t="n">
        <f aca="false">YEAR(B421)</f>
        <v>2024</v>
      </c>
      <c r="D421" s="17" t="n">
        <f aca="false">MONTH(B421)</f>
        <v>4</v>
      </c>
      <c r="E421" s="15" t="s">
        <v>37</v>
      </c>
      <c r="F421" s="15" t="s">
        <v>38</v>
      </c>
      <c r="G421" s="15" t="s">
        <v>43</v>
      </c>
      <c r="H421" s="15" t="s">
        <v>50</v>
      </c>
      <c r="I421" s="15" t="n">
        <v>1</v>
      </c>
      <c r="J421" s="18" t="n">
        <v>449</v>
      </c>
      <c r="K421" s="18" t="n">
        <v>260</v>
      </c>
      <c r="L421" s="19" t="n">
        <f aca="false">I421*J421</f>
        <v>449</v>
      </c>
      <c r="M421" s="19" t="n">
        <f aca="false">L421-I421*K421</f>
        <v>189</v>
      </c>
    </row>
    <row r="422" customFormat="false" ht="15" hidden="false" customHeight="false" outlineLevel="0" collapsed="false">
      <c r="A422" s="15" t="s">
        <v>464</v>
      </c>
      <c r="B422" s="16" t="n">
        <v>45491</v>
      </c>
      <c r="C422" s="17" t="n">
        <f aca="false">YEAR(B422)</f>
        <v>2024</v>
      </c>
      <c r="D422" s="17" t="n">
        <f aca="false">MONTH(B422)</f>
        <v>7</v>
      </c>
      <c r="E422" s="15" t="s">
        <v>37</v>
      </c>
      <c r="F422" s="15" t="s">
        <v>38</v>
      </c>
      <c r="G422" s="15" t="s">
        <v>29</v>
      </c>
      <c r="H422" s="15" t="s">
        <v>50</v>
      </c>
      <c r="I422" s="15" t="n">
        <v>4</v>
      </c>
      <c r="J422" s="18" t="n">
        <v>449</v>
      </c>
      <c r="K422" s="18" t="n">
        <v>260</v>
      </c>
      <c r="L422" s="19" t="n">
        <f aca="false">I422*J422</f>
        <v>1796</v>
      </c>
      <c r="M422" s="19" t="n">
        <f aca="false">L422-I422*K422</f>
        <v>756</v>
      </c>
    </row>
    <row r="423" customFormat="false" ht="15" hidden="false" customHeight="false" outlineLevel="0" collapsed="false">
      <c r="A423" s="15" t="s">
        <v>465</v>
      </c>
      <c r="B423" s="16" t="n">
        <v>45397</v>
      </c>
      <c r="C423" s="17" t="n">
        <f aca="false">YEAR(B423)</f>
        <v>2024</v>
      </c>
      <c r="D423" s="17" t="n">
        <f aca="false">MONTH(B423)</f>
        <v>4</v>
      </c>
      <c r="E423" s="15" t="s">
        <v>37</v>
      </c>
      <c r="F423" s="15" t="s">
        <v>38</v>
      </c>
      <c r="G423" s="15" t="s">
        <v>29</v>
      </c>
      <c r="H423" s="15" t="s">
        <v>30</v>
      </c>
      <c r="I423" s="15" t="n">
        <v>1</v>
      </c>
      <c r="J423" s="18" t="n">
        <v>449</v>
      </c>
      <c r="K423" s="18" t="n">
        <v>260</v>
      </c>
      <c r="L423" s="19" t="n">
        <f aca="false">I423*J423</f>
        <v>449</v>
      </c>
      <c r="M423" s="19" t="n">
        <f aca="false">L423-I423*K423</f>
        <v>189</v>
      </c>
    </row>
    <row r="424" customFormat="false" ht="15" hidden="false" customHeight="false" outlineLevel="0" collapsed="false">
      <c r="A424" s="15" t="s">
        <v>466</v>
      </c>
      <c r="B424" s="16" t="n">
        <v>45418</v>
      </c>
      <c r="C424" s="17" t="n">
        <f aca="false">YEAR(B424)</f>
        <v>2024</v>
      </c>
      <c r="D424" s="17" t="n">
        <f aca="false">MONTH(B424)</f>
        <v>5</v>
      </c>
      <c r="E424" s="15" t="s">
        <v>37</v>
      </c>
      <c r="F424" s="15" t="s">
        <v>38</v>
      </c>
      <c r="G424" s="15" t="s">
        <v>39</v>
      </c>
      <c r="H424" s="15" t="s">
        <v>30</v>
      </c>
      <c r="I424" s="15" t="n">
        <v>3</v>
      </c>
      <c r="J424" s="18" t="n">
        <v>449</v>
      </c>
      <c r="K424" s="18" t="n">
        <v>260</v>
      </c>
      <c r="L424" s="19" t="n">
        <f aca="false">I424*J424</f>
        <v>1347</v>
      </c>
      <c r="M424" s="19" t="n">
        <f aca="false">L424-I424*K424</f>
        <v>567</v>
      </c>
    </row>
    <row r="425" customFormat="false" ht="15" hidden="false" customHeight="false" outlineLevel="0" collapsed="false">
      <c r="A425" s="15" t="s">
        <v>467</v>
      </c>
      <c r="B425" s="16" t="n">
        <v>45432</v>
      </c>
      <c r="C425" s="17" t="n">
        <f aca="false">YEAR(B425)</f>
        <v>2024</v>
      </c>
      <c r="D425" s="17" t="n">
        <f aca="false">MONTH(B425)</f>
        <v>5</v>
      </c>
      <c r="E425" s="15" t="s">
        <v>57</v>
      </c>
      <c r="F425" s="15" t="s">
        <v>38</v>
      </c>
      <c r="G425" s="15" t="s">
        <v>35</v>
      </c>
      <c r="H425" s="15" t="s">
        <v>30</v>
      </c>
      <c r="I425" s="15" t="n">
        <v>2</v>
      </c>
      <c r="J425" s="18" t="n">
        <v>699</v>
      </c>
      <c r="K425" s="18" t="n">
        <v>420</v>
      </c>
      <c r="L425" s="19" t="n">
        <f aca="false">I425*J425</f>
        <v>1398</v>
      </c>
      <c r="M425" s="19" t="n">
        <f aca="false">L425-I425*K425</f>
        <v>558</v>
      </c>
    </row>
    <row r="426" customFormat="false" ht="15" hidden="false" customHeight="false" outlineLevel="0" collapsed="false">
      <c r="A426" s="15" t="s">
        <v>468</v>
      </c>
      <c r="B426" s="16" t="n">
        <v>45878</v>
      </c>
      <c r="C426" s="17" t="n">
        <f aca="false">YEAR(B426)</f>
        <v>2025</v>
      </c>
      <c r="D426" s="17" t="n">
        <f aca="false">MONTH(B426)</f>
        <v>8</v>
      </c>
      <c r="E426" s="15" t="s">
        <v>37</v>
      </c>
      <c r="F426" s="15" t="s">
        <v>38</v>
      </c>
      <c r="G426" s="15" t="s">
        <v>39</v>
      </c>
      <c r="H426" s="15" t="s">
        <v>50</v>
      </c>
      <c r="I426" s="15" t="n">
        <v>4</v>
      </c>
      <c r="J426" s="18" t="n">
        <v>449</v>
      </c>
      <c r="K426" s="18" t="n">
        <v>260</v>
      </c>
      <c r="L426" s="19" t="n">
        <f aca="false">I426*J426</f>
        <v>1796</v>
      </c>
      <c r="M426" s="19" t="n">
        <f aca="false">L426-I426*K426</f>
        <v>756</v>
      </c>
    </row>
    <row r="427" customFormat="false" ht="15" hidden="false" customHeight="false" outlineLevel="0" collapsed="false">
      <c r="A427" s="15" t="s">
        <v>469</v>
      </c>
      <c r="B427" s="16" t="n">
        <v>45942</v>
      </c>
      <c r="C427" s="17" t="n">
        <f aca="false">YEAR(B427)</f>
        <v>2025</v>
      </c>
      <c r="D427" s="17" t="n">
        <f aca="false">MONTH(B427)</f>
        <v>10</v>
      </c>
      <c r="E427" s="15" t="s">
        <v>37</v>
      </c>
      <c r="F427" s="15" t="s">
        <v>38</v>
      </c>
      <c r="G427" s="15" t="s">
        <v>29</v>
      </c>
      <c r="H427" s="15" t="s">
        <v>40</v>
      </c>
      <c r="I427" s="15" t="n">
        <v>4</v>
      </c>
      <c r="J427" s="18" t="n">
        <v>449</v>
      </c>
      <c r="K427" s="18" t="n">
        <v>260</v>
      </c>
      <c r="L427" s="19" t="n">
        <f aca="false">I427*J427</f>
        <v>1796</v>
      </c>
      <c r="M427" s="19" t="n">
        <f aca="false">L427-I427*K427</f>
        <v>756</v>
      </c>
    </row>
    <row r="428" customFormat="false" ht="15" hidden="false" customHeight="false" outlineLevel="0" collapsed="false">
      <c r="A428" s="15" t="s">
        <v>470</v>
      </c>
      <c r="B428" s="16" t="n">
        <v>45329</v>
      </c>
      <c r="C428" s="17" t="n">
        <f aca="false">YEAR(B428)</f>
        <v>2024</v>
      </c>
      <c r="D428" s="17" t="n">
        <f aca="false">MONTH(B428)</f>
        <v>2</v>
      </c>
      <c r="E428" s="15" t="s">
        <v>37</v>
      </c>
      <c r="F428" s="15" t="s">
        <v>38</v>
      </c>
      <c r="G428" s="15" t="s">
        <v>29</v>
      </c>
      <c r="H428" s="15" t="s">
        <v>30</v>
      </c>
      <c r="I428" s="15" t="n">
        <v>1</v>
      </c>
      <c r="J428" s="18" t="n">
        <v>449</v>
      </c>
      <c r="K428" s="18" t="n">
        <v>260</v>
      </c>
      <c r="L428" s="19" t="n">
        <f aca="false">I428*J428</f>
        <v>449</v>
      </c>
      <c r="M428" s="19" t="n">
        <f aca="false">L428-I428*K428</f>
        <v>189</v>
      </c>
    </row>
    <row r="429" customFormat="false" ht="15" hidden="false" customHeight="false" outlineLevel="0" collapsed="false">
      <c r="A429" s="15" t="s">
        <v>471</v>
      </c>
      <c r="B429" s="16" t="n">
        <v>45538</v>
      </c>
      <c r="C429" s="17" t="n">
        <f aca="false">YEAR(B429)</f>
        <v>2024</v>
      </c>
      <c r="D429" s="17" t="n">
        <f aca="false">MONTH(B429)</f>
        <v>9</v>
      </c>
      <c r="E429" s="15" t="s">
        <v>27</v>
      </c>
      <c r="F429" s="15" t="s">
        <v>28</v>
      </c>
      <c r="G429" s="15" t="s">
        <v>35</v>
      </c>
      <c r="H429" s="15" t="s">
        <v>40</v>
      </c>
      <c r="I429" s="15" t="n">
        <v>4</v>
      </c>
      <c r="J429" s="18" t="n">
        <v>100</v>
      </c>
      <c r="K429" s="18" t="n">
        <v>88</v>
      </c>
      <c r="L429" s="19" t="n">
        <f aca="false">I429*J429</f>
        <v>400</v>
      </c>
      <c r="M429" s="19" t="n">
        <f aca="false">L429-I429*K429</f>
        <v>48</v>
      </c>
    </row>
    <row r="430" customFormat="false" ht="15" hidden="false" customHeight="false" outlineLevel="0" collapsed="false">
      <c r="A430" s="15" t="s">
        <v>472</v>
      </c>
      <c r="B430" s="16" t="n">
        <v>45620</v>
      </c>
      <c r="C430" s="17" t="n">
        <f aca="false">YEAR(B430)</f>
        <v>2024</v>
      </c>
      <c r="D430" s="17" t="n">
        <f aca="false">MONTH(B430)</f>
        <v>11</v>
      </c>
      <c r="E430" s="15" t="s">
        <v>48</v>
      </c>
      <c r="F430" s="15" t="s">
        <v>28</v>
      </c>
      <c r="G430" s="15" t="s">
        <v>55</v>
      </c>
      <c r="H430" s="15" t="s">
        <v>30</v>
      </c>
      <c r="I430" s="15" t="n">
        <v>1</v>
      </c>
      <c r="J430" s="18" t="n">
        <v>149</v>
      </c>
      <c r="K430" s="18" t="n">
        <v>60</v>
      </c>
      <c r="L430" s="19" t="n">
        <f aca="false">I430*J430</f>
        <v>149</v>
      </c>
      <c r="M430" s="19" t="n">
        <f aca="false">L430-I430*K430</f>
        <v>89</v>
      </c>
    </row>
    <row r="431" customFormat="false" ht="15" hidden="false" customHeight="false" outlineLevel="0" collapsed="false">
      <c r="A431" s="15" t="s">
        <v>473</v>
      </c>
      <c r="B431" s="16" t="n">
        <v>45988</v>
      </c>
      <c r="C431" s="17" t="n">
        <f aca="false">YEAR(B431)</f>
        <v>2025</v>
      </c>
      <c r="D431" s="17" t="n">
        <f aca="false">MONTH(B431)</f>
        <v>11</v>
      </c>
      <c r="E431" s="15" t="s">
        <v>27</v>
      </c>
      <c r="F431" s="15" t="s">
        <v>28</v>
      </c>
      <c r="G431" s="15" t="s">
        <v>35</v>
      </c>
      <c r="H431" s="15" t="s">
        <v>40</v>
      </c>
      <c r="I431" s="15" t="n">
        <v>2</v>
      </c>
      <c r="J431" s="18" t="n">
        <v>100</v>
      </c>
      <c r="K431" s="18" t="n">
        <v>88</v>
      </c>
      <c r="L431" s="19" t="n">
        <f aca="false">I431*J431</f>
        <v>200</v>
      </c>
      <c r="M431" s="19" t="n">
        <f aca="false">L431-I431*K431</f>
        <v>24</v>
      </c>
    </row>
    <row r="432" customFormat="false" ht="15" hidden="false" customHeight="false" outlineLevel="0" collapsed="false">
      <c r="A432" s="15" t="s">
        <v>474</v>
      </c>
      <c r="B432" s="16" t="n">
        <v>45303</v>
      </c>
      <c r="C432" s="17" t="n">
        <f aca="false">YEAR(B432)</f>
        <v>2024</v>
      </c>
      <c r="D432" s="17" t="n">
        <f aca="false">MONTH(B432)</f>
        <v>1</v>
      </c>
      <c r="E432" s="15" t="s">
        <v>37</v>
      </c>
      <c r="F432" s="15" t="s">
        <v>38</v>
      </c>
      <c r="G432" s="15" t="s">
        <v>39</v>
      </c>
      <c r="H432" s="15" t="s">
        <v>40</v>
      </c>
      <c r="I432" s="15" t="n">
        <v>2</v>
      </c>
      <c r="J432" s="18" t="n">
        <v>449</v>
      </c>
      <c r="K432" s="18" t="n">
        <v>260</v>
      </c>
      <c r="L432" s="19" t="n">
        <f aca="false">I432*J432</f>
        <v>898</v>
      </c>
      <c r="M432" s="19" t="n">
        <f aca="false">L432-I432*K432</f>
        <v>378</v>
      </c>
    </row>
    <row r="433" customFormat="false" ht="15" hidden="false" customHeight="false" outlineLevel="0" collapsed="false">
      <c r="A433" s="15" t="s">
        <v>475</v>
      </c>
      <c r="B433" s="16" t="n">
        <v>45808</v>
      </c>
      <c r="C433" s="17" t="n">
        <f aca="false">YEAR(B433)</f>
        <v>2025</v>
      </c>
      <c r="D433" s="17" t="n">
        <f aca="false">MONTH(B433)</f>
        <v>5</v>
      </c>
      <c r="E433" s="15" t="s">
        <v>48</v>
      </c>
      <c r="F433" s="15" t="s">
        <v>28</v>
      </c>
      <c r="G433" s="15" t="s">
        <v>39</v>
      </c>
      <c r="H433" s="15" t="s">
        <v>50</v>
      </c>
      <c r="I433" s="15" t="n">
        <v>2</v>
      </c>
      <c r="J433" s="18" t="n">
        <v>149</v>
      </c>
      <c r="K433" s="18" t="n">
        <v>60</v>
      </c>
      <c r="L433" s="19" t="n">
        <f aca="false">I433*J433</f>
        <v>298</v>
      </c>
      <c r="M433" s="19" t="n">
        <f aca="false">L433-I433*K433</f>
        <v>178</v>
      </c>
    </row>
    <row r="434" customFormat="false" ht="15" hidden="false" customHeight="false" outlineLevel="0" collapsed="false">
      <c r="A434" s="15" t="s">
        <v>476</v>
      </c>
      <c r="B434" s="16" t="n">
        <v>45756</v>
      </c>
      <c r="C434" s="17" t="n">
        <f aca="false">YEAR(B434)</f>
        <v>2025</v>
      </c>
      <c r="D434" s="17" t="n">
        <f aca="false">MONTH(B434)</f>
        <v>4</v>
      </c>
      <c r="E434" s="15" t="s">
        <v>48</v>
      </c>
      <c r="F434" s="15" t="s">
        <v>28</v>
      </c>
      <c r="G434" s="15" t="s">
        <v>43</v>
      </c>
      <c r="H434" s="15" t="s">
        <v>40</v>
      </c>
      <c r="I434" s="15" t="n">
        <v>1</v>
      </c>
      <c r="J434" s="18" t="n">
        <v>149</v>
      </c>
      <c r="K434" s="18" t="n">
        <v>60</v>
      </c>
      <c r="L434" s="19" t="n">
        <f aca="false">I434*J434</f>
        <v>149</v>
      </c>
      <c r="M434" s="19" t="n">
        <f aca="false">L434-I434*K434</f>
        <v>89</v>
      </c>
    </row>
    <row r="435" customFormat="false" ht="15" hidden="false" customHeight="false" outlineLevel="0" collapsed="false">
      <c r="A435" s="15" t="s">
        <v>477</v>
      </c>
      <c r="B435" s="16" t="n">
        <v>45564</v>
      </c>
      <c r="C435" s="17" t="n">
        <f aca="false">YEAR(B435)</f>
        <v>2024</v>
      </c>
      <c r="D435" s="17" t="n">
        <f aca="false">MONTH(B435)</f>
        <v>9</v>
      </c>
      <c r="E435" s="15" t="s">
        <v>27</v>
      </c>
      <c r="F435" s="15" t="s">
        <v>28</v>
      </c>
      <c r="G435" s="15" t="s">
        <v>29</v>
      </c>
      <c r="H435" s="15" t="s">
        <v>50</v>
      </c>
      <c r="I435" s="15" t="n">
        <v>3</v>
      </c>
      <c r="J435" s="18" t="n">
        <v>100</v>
      </c>
      <c r="K435" s="18" t="n">
        <v>88</v>
      </c>
      <c r="L435" s="19" t="n">
        <f aca="false">I435*J435</f>
        <v>300</v>
      </c>
      <c r="M435" s="19" t="n">
        <f aca="false">L435-I435*K435</f>
        <v>36</v>
      </c>
    </row>
    <row r="436" customFormat="false" ht="15" hidden="false" customHeight="false" outlineLevel="0" collapsed="false">
      <c r="A436" s="15" t="s">
        <v>478</v>
      </c>
      <c r="B436" s="16" t="n">
        <v>45328</v>
      </c>
      <c r="C436" s="17" t="n">
        <f aca="false">YEAR(B436)</f>
        <v>2024</v>
      </c>
      <c r="D436" s="17" t="n">
        <f aca="false">MONTH(B436)</f>
        <v>2</v>
      </c>
      <c r="E436" s="15" t="s">
        <v>48</v>
      </c>
      <c r="F436" s="15" t="s">
        <v>28</v>
      </c>
      <c r="G436" s="15" t="s">
        <v>39</v>
      </c>
      <c r="H436" s="15" t="s">
        <v>30</v>
      </c>
      <c r="I436" s="15" t="n">
        <v>3</v>
      </c>
      <c r="J436" s="18" t="n">
        <v>149</v>
      </c>
      <c r="K436" s="18" t="n">
        <v>60</v>
      </c>
      <c r="L436" s="19" t="n">
        <f aca="false">I436*J436</f>
        <v>447</v>
      </c>
      <c r="M436" s="19" t="n">
        <f aca="false">L436-I436*K436</f>
        <v>267</v>
      </c>
    </row>
    <row r="437" customFormat="false" ht="15" hidden="false" customHeight="false" outlineLevel="0" collapsed="false">
      <c r="A437" s="15" t="s">
        <v>479</v>
      </c>
      <c r="B437" s="16" t="n">
        <v>45534</v>
      </c>
      <c r="C437" s="17" t="n">
        <f aca="false">YEAR(B437)</f>
        <v>2024</v>
      </c>
      <c r="D437" s="17" t="n">
        <f aca="false">MONTH(B437)</f>
        <v>8</v>
      </c>
      <c r="E437" s="15" t="s">
        <v>27</v>
      </c>
      <c r="F437" s="15" t="s">
        <v>28</v>
      </c>
      <c r="G437" s="15" t="s">
        <v>39</v>
      </c>
      <c r="H437" s="15" t="s">
        <v>30</v>
      </c>
      <c r="I437" s="15" t="n">
        <v>3</v>
      </c>
      <c r="J437" s="18" t="n">
        <v>100</v>
      </c>
      <c r="K437" s="18" t="n">
        <v>88</v>
      </c>
      <c r="L437" s="19" t="n">
        <f aca="false">I437*J437</f>
        <v>300</v>
      </c>
      <c r="M437" s="19" t="n">
        <f aca="false">L437-I437*K437</f>
        <v>36</v>
      </c>
    </row>
    <row r="438" customFormat="false" ht="15" hidden="false" customHeight="false" outlineLevel="0" collapsed="false">
      <c r="A438" s="15" t="s">
        <v>480</v>
      </c>
      <c r="B438" s="16" t="n">
        <v>45462</v>
      </c>
      <c r="C438" s="17" t="n">
        <f aca="false">YEAR(B438)</f>
        <v>2024</v>
      </c>
      <c r="D438" s="17" t="n">
        <f aca="false">MONTH(B438)</f>
        <v>6</v>
      </c>
      <c r="E438" s="15" t="s">
        <v>33</v>
      </c>
      <c r="F438" s="15" t="s">
        <v>34</v>
      </c>
      <c r="G438" s="15" t="s">
        <v>39</v>
      </c>
      <c r="H438" s="15" t="s">
        <v>40</v>
      </c>
      <c r="I438" s="15" t="n">
        <v>2</v>
      </c>
      <c r="J438" s="18" t="n">
        <v>2799</v>
      </c>
      <c r="K438" s="18" t="n">
        <v>2100</v>
      </c>
      <c r="L438" s="19" t="n">
        <f aca="false">I438*J438</f>
        <v>5598</v>
      </c>
      <c r="M438" s="19" t="n">
        <f aca="false">L438-I438*K438</f>
        <v>1398</v>
      </c>
    </row>
    <row r="439" customFormat="false" ht="15" hidden="false" customHeight="false" outlineLevel="0" collapsed="false">
      <c r="A439" s="15" t="s">
        <v>481</v>
      </c>
      <c r="B439" s="16" t="n">
        <v>45443</v>
      </c>
      <c r="C439" s="17" t="n">
        <f aca="false">YEAR(B439)</f>
        <v>2024</v>
      </c>
      <c r="D439" s="17" t="n">
        <f aca="false">MONTH(B439)</f>
        <v>5</v>
      </c>
      <c r="E439" s="15" t="s">
        <v>37</v>
      </c>
      <c r="F439" s="15" t="s">
        <v>38</v>
      </c>
      <c r="G439" s="15" t="s">
        <v>35</v>
      </c>
      <c r="H439" s="15" t="s">
        <v>50</v>
      </c>
      <c r="I439" s="15" t="n">
        <v>2</v>
      </c>
      <c r="J439" s="18" t="n">
        <v>449</v>
      </c>
      <c r="K439" s="18" t="n">
        <v>260</v>
      </c>
      <c r="L439" s="19" t="n">
        <f aca="false">I439*J439</f>
        <v>898</v>
      </c>
      <c r="M439" s="19" t="n">
        <f aca="false">L439-I439*K439</f>
        <v>378</v>
      </c>
    </row>
    <row r="440" customFormat="false" ht="15" hidden="false" customHeight="false" outlineLevel="0" collapsed="false">
      <c r="A440" s="15" t="s">
        <v>482</v>
      </c>
      <c r="B440" s="16" t="n">
        <v>45883</v>
      </c>
      <c r="C440" s="17" t="n">
        <f aca="false">YEAR(B440)</f>
        <v>2025</v>
      </c>
      <c r="D440" s="17" t="n">
        <f aca="false">MONTH(B440)</f>
        <v>8</v>
      </c>
      <c r="E440" s="15" t="s">
        <v>37</v>
      </c>
      <c r="F440" s="15" t="s">
        <v>38</v>
      </c>
      <c r="G440" s="15" t="s">
        <v>29</v>
      </c>
      <c r="H440" s="15" t="s">
        <v>50</v>
      </c>
      <c r="I440" s="15" t="n">
        <v>2</v>
      </c>
      <c r="J440" s="18" t="n">
        <v>449</v>
      </c>
      <c r="K440" s="18" t="n">
        <v>260</v>
      </c>
      <c r="L440" s="19" t="n">
        <f aca="false">I440*J440</f>
        <v>898</v>
      </c>
      <c r="M440" s="19" t="n">
        <f aca="false">L440-I440*K440</f>
        <v>378</v>
      </c>
    </row>
    <row r="441" customFormat="false" ht="15" hidden="false" customHeight="false" outlineLevel="0" collapsed="false">
      <c r="A441" s="15" t="s">
        <v>483</v>
      </c>
      <c r="B441" s="16" t="n">
        <v>45586</v>
      </c>
      <c r="C441" s="17" t="n">
        <f aca="false">YEAR(B441)</f>
        <v>2024</v>
      </c>
      <c r="D441" s="17" t="n">
        <f aca="false">MONTH(B441)</f>
        <v>10</v>
      </c>
      <c r="E441" s="15" t="s">
        <v>27</v>
      </c>
      <c r="F441" s="15" t="s">
        <v>28</v>
      </c>
      <c r="G441" s="15" t="s">
        <v>29</v>
      </c>
      <c r="H441" s="15" t="s">
        <v>30</v>
      </c>
      <c r="I441" s="15" t="n">
        <v>2</v>
      </c>
      <c r="J441" s="18" t="n">
        <v>100</v>
      </c>
      <c r="K441" s="18" t="n">
        <v>88</v>
      </c>
      <c r="L441" s="19" t="n">
        <f aca="false">I441*J441</f>
        <v>200</v>
      </c>
      <c r="M441" s="19" t="n">
        <f aca="false">L441-I441*K441</f>
        <v>24</v>
      </c>
    </row>
    <row r="442" customFormat="false" ht="15" hidden="false" customHeight="false" outlineLevel="0" collapsed="false">
      <c r="A442" s="15" t="s">
        <v>484</v>
      </c>
      <c r="B442" s="16" t="n">
        <v>46019</v>
      </c>
      <c r="C442" s="17" t="n">
        <f aca="false">YEAR(B442)</f>
        <v>2025</v>
      </c>
      <c r="D442" s="17" t="n">
        <f aca="false">MONTH(B442)</f>
        <v>12</v>
      </c>
      <c r="E442" s="15" t="s">
        <v>37</v>
      </c>
      <c r="F442" s="15" t="s">
        <v>38</v>
      </c>
      <c r="G442" s="15" t="s">
        <v>29</v>
      </c>
      <c r="H442" s="15" t="s">
        <v>40</v>
      </c>
      <c r="I442" s="15" t="n">
        <v>3</v>
      </c>
      <c r="J442" s="18" t="n">
        <v>449</v>
      </c>
      <c r="K442" s="18" t="n">
        <v>260</v>
      </c>
      <c r="L442" s="19" t="n">
        <f aca="false">I442*J442</f>
        <v>1347</v>
      </c>
      <c r="M442" s="19" t="n">
        <f aca="false">L442-I442*K442</f>
        <v>567</v>
      </c>
    </row>
    <row r="443" customFormat="false" ht="15" hidden="false" customHeight="false" outlineLevel="0" collapsed="false">
      <c r="A443" s="15" t="s">
        <v>485</v>
      </c>
      <c r="B443" s="16" t="n">
        <v>45609</v>
      </c>
      <c r="C443" s="17" t="n">
        <f aca="false">YEAR(B443)</f>
        <v>2024</v>
      </c>
      <c r="D443" s="17" t="n">
        <f aca="false">MONTH(B443)</f>
        <v>11</v>
      </c>
      <c r="E443" s="15" t="s">
        <v>62</v>
      </c>
      <c r="F443" s="15" t="s">
        <v>34</v>
      </c>
      <c r="G443" s="15" t="s">
        <v>39</v>
      </c>
      <c r="H443" s="15" t="s">
        <v>40</v>
      </c>
      <c r="I443" s="15" t="n">
        <v>2</v>
      </c>
      <c r="J443" s="18" t="n">
        <v>4499</v>
      </c>
      <c r="K443" s="18" t="n">
        <v>3400</v>
      </c>
      <c r="L443" s="19" t="n">
        <f aca="false">I443*J443</f>
        <v>8998</v>
      </c>
      <c r="M443" s="19" t="n">
        <f aca="false">L443-I443*K443</f>
        <v>2198</v>
      </c>
    </row>
    <row r="444" customFormat="false" ht="15" hidden="false" customHeight="false" outlineLevel="0" collapsed="false">
      <c r="A444" s="15" t="s">
        <v>486</v>
      </c>
      <c r="B444" s="16" t="n">
        <v>45684</v>
      </c>
      <c r="C444" s="17" t="n">
        <f aca="false">YEAR(B444)</f>
        <v>2025</v>
      </c>
      <c r="D444" s="17" t="n">
        <f aca="false">MONTH(B444)</f>
        <v>1</v>
      </c>
      <c r="E444" s="15" t="s">
        <v>27</v>
      </c>
      <c r="F444" s="15" t="s">
        <v>28</v>
      </c>
      <c r="G444" s="15" t="s">
        <v>43</v>
      </c>
      <c r="H444" s="15" t="s">
        <v>30</v>
      </c>
      <c r="I444" s="15" t="n">
        <v>4</v>
      </c>
      <c r="J444" s="18" t="n">
        <v>100</v>
      </c>
      <c r="K444" s="18" t="n">
        <v>88</v>
      </c>
      <c r="L444" s="19" t="n">
        <f aca="false">I444*J444</f>
        <v>400</v>
      </c>
      <c r="M444" s="19" t="n">
        <f aca="false">L444-I444*K444</f>
        <v>48</v>
      </c>
    </row>
    <row r="445" customFormat="false" ht="15" hidden="false" customHeight="false" outlineLevel="0" collapsed="false">
      <c r="A445" s="15" t="s">
        <v>487</v>
      </c>
      <c r="B445" s="16" t="n">
        <v>45536</v>
      </c>
      <c r="C445" s="17" t="n">
        <f aca="false">YEAR(B445)</f>
        <v>2024</v>
      </c>
      <c r="D445" s="17" t="n">
        <f aca="false">MONTH(B445)</f>
        <v>9</v>
      </c>
      <c r="E445" s="15" t="s">
        <v>37</v>
      </c>
      <c r="F445" s="15" t="s">
        <v>38</v>
      </c>
      <c r="G445" s="15" t="s">
        <v>29</v>
      </c>
      <c r="H445" s="15" t="s">
        <v>30</v>
      </c>
      <c r="I445" s="15" t="n">
        <v>3</v>
      </c>
      <c r="J445" s="18" t="n">
        <v>449</v>
      </c>
      <c r="K445" s="18" t="n">
        <v>260</v>
      </c>
      <c r="L445" s="19" t="n">
        <f aca="false">I445*J445</f>
        <v>1347</v>
      </c>
      <c r="M445" s="19" t="n">
        <f aca="false">L445-I445*K445</f>
        <v>567</v>
      </c>
    </row>
    <row r="446" customFormat="false" ht="15" hidden="false" customHeight="false" outlineLevel="0" collapsed="false">
      <c r="A446" s="15" t="s">
        <v>488</v>
      </c>
      <c r="B446" s="16" t="n">
        <v>45513</v>
      </c>
      <c r="C446" s="17" t="n">
        <f aca="false">YEAR(B446)</f>
        <v>2024</v>
      </c>
      <c r="D446" s="17" t="n">
        <f aca="false">MONTH(B446)</f>
        <v>8</v>
      </c>
      <c r="E446" s="15" t="s">
        <v>37</v>
      </c>
      <c r="F446" s="15" t="s">
        <v>38</v>
      </c>
      <c r="G446" s="15" t="s">
        <v>39</v>
      </c>
      <c r="H446" s="15" t="s">
        <v>30</v>
      </c>
      <c r="I446" s="15" t="n">
        <v>1</v>
      </c>
      <c r="J446" s="18" t="n">
        <v>449</v>
      </c>
      <c r="K446" s="18" t="n">
        <v>260</v>
      </c>
      <c r="L446" s="19" t="n">
        <f aca="false">I446*J446</f>
        <v>449</v>
      </c>
      <c r="M446" s="19" t="n">
        <f aca="false">L446-I446*K446</f>
        <v>189</v>
      </c>
    </row>
    <row r="447" customFormat="false" ht="15" hidden="false" customHeight="false" outlineLevel="0" collapsed="false">
      <c r="A447" s="15" t="s">
        <v>489</v>
      </c>
      <c r="B447" s="16" t="n">
        <v>45648</v>
      </c>
      <c r="C447" s="17" t="n">
        <f aca="false">YEAR(B447)</f>
        <v>2024</v>
      </c>
      <c r="D447" s="17" t="n">
        <f aca="false">MONTH(B447)</f>
        <v>12</v>
      </c>
      <c r="E447" s="15" t="s">
        <v>37</v>
      </c>
      <c r="F447" s="15" t="s">
        <v>38</v>
      </c>
      <c r="G447" s="15" t="s">
        <v>29</v>
      </c>
      <c r="H447" s="15" t="s">
        <v>50</v>
      </c>
      <c r="I447" s="15" t="n">
        <v>1</v>
      </c>
      <c r="J447" s="18" t="n">
        <v>449</v>
      </c>
      <c r="K447" s="18" t="n">
        <v>260</v>
      </c>
      <c r="L447" s="19" t="n">
        <f aca="false">I447*J447</f>
        <v>449</v>
      </c>
      <c r="M447" s="19" t="n">
        <f aca="false">L447-I447*K447</f>
        <v>189</v>
      </c>
    </row>
    <row r="448" customFormat="false" ht="15" hidden="false" customHeight="false" outlineLevel="0" collapsed="false">
      <c r="A448" s="15" t="s">
        <v>490</v>
      </c>
      <c r="B448" s="16" t="n">
        <v>45654</v>
      </c>
      <c r="C448" s="17" t="n">
        <f aca="false">YEAR(B448)</f>
        <v>2024</v>
      </c>
      <c r="D448" s="17" t="n">
        <f aca="false">MONTH(B448)</f>
        <v>12</v>
      </c>
      <c r="E448" s="15" t="s">
        <v>48</v>
      </c>
      <c r="F448" s="15" t="s">
        <v>28</v>
      </c>
      <c r="G448" s="15" t="s">
        <v>29</v>
      </c>
      <c r="H448" s="15" t="s">
        <v>50</v>
      </c>
      <c r="I448" s="15" t="n">
        <v>1</v>
      </c>
      <c r="J448" s="18" t="n">
        <v>149</v>
      </c>
      <c r="K448" s="18" t="n">
        <v>60</v>
      </c>
      <c r="L448" s="19" t="n">
        <f aca="false">I448*J448</f>
        <v>149</v>
      </c>
      <c r="M448" s="19" t="n">
        <f aca="false">L448-I448*K448</f>
        <v>89</v>
      </c>
    </row>
    <row r="449" customFormat="false" ht="15" hidden="false" customHeight="false" outlineLevel="0" collapsed="false">
      <c r="A449" s="15" t="s">
        <v>491</v>
      </c>
      <c r="B449" s="16" t="n">
        <v>45985</v>
      </c>
      <c r="C449" s="17" t="n">
        <f aca="false">YEAR(B449)</f>
        <v>2025</v>
      </c>
      <c r="D449" s="17" t="n">
        <f aca="false">MONTH(B449)</f>
        <v>11</v>
      </c>
      <c r="E449" s="15" t="s">
        <v>48</v>
      </c>
      <c r="F449" s="15" t="s">
        <v>28</v>
      </c>
      <c r="G449" s="15" t="s">
        <v>29</v>
      </c>
      <c r="H449" s="15" t="s">
        <v>50</v>
      </c>
      <c r="I449" s="15" t="n">
        <v>2</v>
      </c>
      <c r="J449" s="18" t="n">
        <v>149</v>
      </c>
      <c r="K449" s="18" t="n">
        <v>60</v>
      </c>
      <c r="L449" s="19" t="n">
        <f aca="false">I449*J449</f>
        <v>298</v>
      </c>
      <c r="M449" s="19" t="n">
        <f aca="false">L449-I449*K449</f>
        <v>178</v>
      </c>
    </row>
    <row r="450" customFormat="false" ht="15" hidden="false" customHeight="false" outlineLevel="0" collapsed="false">
      <c r="A450" s="15" t="s">
        <v>492</v>
      </c>
      <c r="B450" s="16" t="n">
        <v>45435</v>
      </c>
      <c r="C450" s="17" t="n">
        <f aca="false">YEAR(B450)</f>
        <v>2024</v>
      </c>
      <c r="D450" s="17" t="n">
        <f aca="false">MONTH(B450)</f>
        <v>5</v>
      </c>
      <c r="E450" s="15" t="s">
        <v>48</v>
      </c>
      <c r="F450" s="15" t="s">
        <v>28</v>
      </c>
      <c r="G450" s="15" t="s">
        <v>35</v>
      </c>
      <c r="H450" s="15" t="s">
        <v>40</v>
      </c>
      <c r="I450" s="15" t="n">
        <v>3</v>
      </c>
      <c r="J450" s="18" t="n">
        <v>149</v>
      </c>
      <c r="K450" s="18" t="n">
        <v>60</v>
      </c>
      <c r="L450" s="19" t="n">
        <f aca="false">I450*J450</f>
        <v>447</v>
      </c>
      <c r="M450" s="19" t="n">
        <f aca="false">L450-I450*K450</f>
        <v>267</v>
      </c>
    </row>
    <row r="451" customFormat="false" ht="15" hidden="false" customHeight="false" outlineLevel="0" collapsed="false">
      <c r="A451" s="15" t="s">
        <v>493</v>
      </c>
      <c r="B451" s="16" t="n">
        <v>45778</v>
      </c>
      <c r="C451" s="17" t="n">
        <f aca="false">YEAR(B451)</f>
        <v>2025</v>
      </c>
      <c r="D451" s="17" t="n">
        <f aca="false">MONTH(B451)</f>
        <v>5</v>
      </c>
      <c r="E451" s="15" t="s">
        <v>37</v>
      </c>
      <c r="F451" s="15" t="s">
        <v>38</v>
      </c>
      <c r="G451" s="15" t="s">
        <v>29</v>
      </c>
      <c r="H451" s="15" t="s">
        <v>30</v>
      </c>
      <c r="I451" s="15" t="n">
        <v>2</v>
      </c>
      <c r="J451" s="18" t="n">
        <v>449</v>
      </c>
      <c r="K451" s="18" t="n">
        <v>260</v>
      </c>
      <c r="L451" s="19" t="n">
        <f aca="false">I451*J451</f>
        <v>898</v>
      </c>
      <c r="M451" s="19" t="n">
        <f aca="false">L451-I451*K451</f>
        <v>378</v>
      </c>
    </row>
    <row r="452" customFormat="false" ht="15" hidden="false" customHeight="false" outlineLevel="0" collapsed="false">
      <c r="A452" s="15" t="s">
        <v>494</v>
      </c>
      <c r="B452" s="16" t="n">
        <v>45712</v>
      </c>
      <c r="C452" s="17" t="n">
        <f aca="false">YEAR(B452)</f>
        <v>2025</v>
      </c>
      <c r="D452" s="17" t="n">
        <f aca="false">MONTH(B452)</f>
        <v>2</v>
      </c>
      <c r="E452" s="15" t="s">
        <v>48</v>
      </c>
      <c r="F452" s="15" t="s">
        <v>28</v>
      </c>
      <c r="G452" s="15" t="s">
        <v>29</v>
      </c>
      <c r="H452" s="15" t="s">
        <v>50</v>
      </c>
      <c r="I452" s="15" t="n">
        <v>1</v>
      </c>
      <c r="J452" s="18" t="n">
        <v>149</v>
      </c>
      <c r="K452" s="18" t="n">
        <v>60</v>
      </c>
      <c r="L452" s="19" t="n">
        <f aca="false">I452*J452</f>
        <v>149</v>
      </c>
      <c r="M452" s="19" t="n">
        <f aca="false">L452-I452*K452</f>
        <v>89</v>
      </c>
    </row>
    <row r="453" customFormat="false" ht="15" hidden="false" customHeight="false" outlineLevel="0" collapsed="false">
      <c r="A453" s="15" t="s">
        <v>495</v>
      </c>
      <c r="B453" s="16" t="n">
        <v>45877</v>
      </c>
      <c r="C453" s="17" t="n">
        <f aca="false">YEAR(B453)</f>
        <v>2025</v>
      </c>
      <c r="D453" s="17" t="n">
        <f aca="false">MONTH(B453)</f>
        <v>8</v>
      </c>
      <c r="E453" s="15" t="s">
        <v>33</v>
      </c>
      <c r="F453" s="15" t="s">
        <v>34</v>
      </c>
      <c r="G453" s="15" t="s">
        <v>35</v>
      </c>
      <c r="H453" s="15" t="s">
        <v>40</v>
      </c>
      <c r="I453" s="15" t="n">
        <v>2</v>
      </c>
      <c r="J453" s="18" t="n">
        <v>2799</v>
      </c>
      <c r="K453" s="18" t="n">
        <v>2100</v>
      </c>
      <c r="L453" s="19" t="n">
        <f aca="false">I453*J453</f>
        <v>5598</v>
      </c>
      <c r="M453" s="19" t="n">
        <f aca="false">L453-I453*K453</f>
        <v>1398</v>
      </c>
    </row>
    <row r="454" customFormat="false" ht="15" hidden="false" customHeight="false" outlineLevel="0" collapsed="false">
      <c r="A454" s="15" t="s">
        <v>496</v>
      </c>
      <c r="B454" s="16" t="n">
        <v>45680</v>
      </c>
      <c r="C454" s="17" t="n">
        <f aca="false">YEAR(B454)</f>
        <v>2025</v>
      </c>
      <c r="D454" s="17" t="n">
        <f aca="false">MONTH(B454)</f>
        <v>1</v>
      </c>
      <c r="E454" s="15" t="s">
        <v>27</v>
      </c>
      <c r="F454" s="15" t="s">
        <v>28</v>
      </c>
      <c r="G454" s="15" t="s">
        <v>55</v>
      </c>
      <c r="H454" s="15" t="s">
        <v>30</v>
      </c>
      <c r="I454" s="15" t="n">
        <v>4</v>
      </c>
      <c r="J454" s="18" t="n">
        <v>100</v>
      </c>
      <c r="K454" s="18" t="n">
        <v>88</v>
      </c>
      <c r="L454" s="19" t="n">
        <f aca="false">I454*J454</f>
        <v>400</v>
      </c>
      <c r="M454" s="19" t="n">
        <f aca="false">L454-I454*K454</f>
        <v>48</v>
      </c>
    </row>
    <row r="455" customFormat="false" ht="15" hidden="false" customHeight="false" outlineLevel="0" collapsed="false">
      <c r="A455" s="15" t="s">
        <v>497</v>
      </c>
      <c r="B455" s="16" t="n">
        <v>45653</v>
      </c>
      <c r="C455" s="17" t="n">
        <f aca="false">YEAR(B455)</f>
        <v>2024</v>
      </c>
      <c r="D455" s="17" t="n">
        <f aca="false">MONTH(B455)</f>
        <v>12</v>
      </c>
      <c r="E455" s="15" t="s">
        <v>37</v>
      </c>
      <c r="F455" s="15" t="s">
        <v>38</v>
      </c>
      <c r="G455" s="15" t="s">
        <v>29</v>
      </c>
      <c r="H455" s="15" t="s">
        <v>30</v>
      </c>
      <c r="I455" s="15" t="n">
        <v>4</v>
      </c>
      <c r="J455" s="18" t="n">
        <v>449</v>
      </c>
      <c r="K455" s="18" t="n">
        <v>260</v>
      </c>
      <c r="L455" s="19" t="n">
        <f aca="false">I455*J455</f>
        <v>1796</v>
      </c>
      <c r="M455" s="19" t="n">
        <f aca="false">L455-I455*K455</f>
        <v>756</v>
      </c>
    </row>
    <row r="456" customFormat="false" ht="15" hidden="false" customHeight="false" outlineLevel="0" collapsed="false">
      <c r="A456" s="15" t="s">
        <v>498</v>
      </c>
      <c r="B456" s="16" t="n">
        <v>45803</v>
      </c>
      <c r="C456" s="17" t="n">
        <f aca="false">YEAR(B456)</f>
        <v>2025</v>
      </c>
      <c r="D456" s="17" t="n">
        <f aca="false">MONTH(B456)</f>
        <v>5</v>
      </c>
      <c r="E456" s="15" t="s">
        <v>37</v>
      </c>
      <c r="F456" s="15" t="s">
        <v>38</v>
      </c>
      <c r="G456" s="15" t="s">
        <v>39</v>
      </c>
      <c r="H456" s="15" t="s">
        <v>30</v>
      </c>
      <c r="I456" s="15" t="n">
        <v>3</v>
      </c>
      <c r="J456" s="18" t="n">
        <v>449</v>
      </c>
      <c r="K456" s="18" t="n">
        <v>260</v>
      </c>
      <c r="L456" s="19" t="n">
        <f aca="false">I456*J456</f>
        <v>1347</v>
      </c>
      <c r="M456" s="19" t="n">
        <f aca="false">L456-I456*K456</f>
        <v>567</v>
      </c>
    </row>
    <row r="457" customFormat="false" ht="15" hidden="false" customHeight="false" outlineLevel="0" collapsed="false">
      <c r="A457" s="15" t="s">
        <v>499</v>
      </c>
      <c r="B457" s="16" t="n">
        <v>45440</v>
      </c>
      <c r="C457" s="17" t="n">
        <f aca="false">YEAR(B457)</f>
        <v>2024</v>
      </c>
      <c r="D457" s="17" t="n">
        <f aca="false">MONTH(B457)</f>
        <v>5</v>
      </c>
      <c r="E457" s="15" t="s">
        <v>37</v>
      </c>
      <c r="F457" s="15" t="s">
        <v>38</v>
      </c>
      <c r="G457" s="15" t="s">
        <v>29</v>
      </c>
      <c r="H457" s="15" t="s">
        <v>30</v>
      </c>
      <c r="I457" s="15" t="n">
        <v>4</v>
      </c>
      <c r="J457" s="18" t="n">
        <v>449</v>
      </c>
      <c r="K457" s="18" t="n">
        <v>260</v>
      </c>
      <c r="L457" s="19" t="n">
        <f aca="false">I457*J457</f>
        <v>1796</v>
      </c>
      <c r="M457" s="19" t="n">
        <f aca="false">L457-I457*K457</f>
        <v>756</v>
      </c>
    </row>
    <row r="458" customFormat="false" ht="15" hidden="false" customHeight="false" outlineLevel="0" collapsed="false">
      <c r="A458" s="15" t="s">
        <v>500</v>
      </c>
      <c r="B458" s="16" t="n">
        <v>45630</v>
      </c>
      <c r="C458" s="17" t="n">
        <f aca="false">YEAR(B458)</f>
        <v>2024</v>
      </c>
      <c r="D458" s="17" t="n">
        <f aca="false">MONTH(B458)</f>
        <v>12</v>
      </c>
      <c r="E458" s="15" t="s">
        <v>37</v>
      </c>
      <c r="F458" s="15" t="s">
        <v>38</v>
      </c>
      <c r="G458" s="15" t="s">
        <v>35</v>
      </c>
      <c r="H458" s="15" t="s">
        <v>30</v>
      </c>
      <c r="I458" s="15" t="n">
        <v>2</v>
      </c>
      <c r="J458" s="18" t="n">
        <v>449</v>
      </c>
      <c r="K458" s="18" t="n">
        <v>260</v>
      </c>
      <c r="L458" s="19" t="n">
        <f aca="false">I458*J458</f>
        <v>898</v>
      </c>
      <c r="M458" s="19" t="n">
        <f aca="false">L458-I458*K458</f>
        <v>378</v>
      </c>
    </row>
    <row r="459" customFormat="false" ht="15" hidden="false" customHeight="false" outlineLevel="0" collapsed="false">
      <c r="A459" s="15" t="s">
        <v>501</v>
      </c>
      <c r="B459" s="16" t="n">
        <v>45728</v>
      </c>
      <c r="C459" s="17" t="n">
        <f aca="false">YEAR(B459)</f>
        <v>2025</v>
      </c>
      <c r="D459" s="17" t="n">
        <f aca="false">MONTH(B459)</f>
        <v>3</v>
      </c>
      <c r="E459" s="15" t="s">
        <v>27</v>
      </c>
      <c r="F459" s="15" t="s">
        <v>28</v>
      </c>
      <c r="G459" s="15" t="s">
        <v>43</v>
      </c>
      <c r="H459" s="15" t="s">
        <v>30</v>
      </c>
      <c r="I459" s="15" t="n">
        <v>1</v>
      </c>
      <c r="J459" s="18" t="n">
        <v>100</v>
      </c>
      <c r="K459" s="18" t="n">
        <v>88</v>
      </c>
      <c r="L459" s="19" t="n">
        <f aca="false">I459*J459</f>
        <v>100</v>
      </c>
      <c r="M459" s="19" t="n">
        <f aca="false">L459-I459*K459</f>
        <v>12</v>
      </c>
    </row>
    <row r="460" customFormat="false" ht="15" hidden="false" customHeight="false" outlineLevel="0" collapsed="false">
      <c r="A460" s="15" t="s">
        <v>502</v>
      </c>
      <c r="B460" s="16" t="n">
        <v>45801</v>
      </c>
      <c r="C460" s="17" t="n">
        <f aca="false">YEAR(B460)</f>
        <v>2025</v>
      </c>
      <c r="D460" s="17" t="n">
        <f aca="false">MONTH(B460)</f>
        <v>5</v>
      </c>
      <c r="E460" s="15" t="s">
        <v>37</v>
      </c>
      <c r="F460" s="15" t="s">
        <v>38</v>
      </c>
      <c r="G460" s="15" t="s">
        <v>29</v>
      </c>
      <c r="H460" s="15" t="s">
        <v>50</v>
      </c>
      <c r="I460" s="15" t="n">
        <v>3</v>
      </c>
      <c r="J460" s="18" t="n">
        <v>449</v>
      </c>
      <c r="K460" s="18" t="n">
        <v>260</v>
      </c>
      <c r="L460" s="19" t="n">
        <f aca="false">I460*J460</f>
        <v>1347</v>
      </c>
      <c r="M460" s="19" t="n">
        <f aca="false">L460-I460*K460</f>
        <v>567</v>
      </c>
    </row>
    <row r="461" customFormat="false" ht="15" hidden="false" customHeight="false" outlineLevel="0" collapsed="false">
      <c r="A461" s="15" t="s">
        <v>503</v>
      </c>
      <c r="B461" s="16" t="n">
        <v>45821</v>
      </c>
      <c r="C461" s="17" t="n">
        <f aca="false">YEAR(B461)</f>
        <v>2025</v>
      </c>
      <c r="D461" s="17" t="n">
        <f aca="false">MONTH(B461)</f>
        <v>6</v>
      </c>
      <c r="E461" s="15" t="s">
        <v>27</v>
      </c>
      <c r="F461" s="15" t="s">
        <v>28</v>
      </c>
      <c r="G461" s="15" t="s">
        <v>55</v>
      </c>
      <c r="H461" s="15" t="s">
        <v>30</v>
      </c>
      <c r="I461" s="15" t="n">
        <v>4</v>
      </c>
      <c r="J461" s="18" t="n">
        <v>100</v>
      </c>
      <c r="K461" s="18" t="n">
        <v>88</v>
      </c>
      <c r="L461" s="19" t="n">
        <f aca="false">I461*J461</f>
        <v>400</v>
      </c>
      <c r="M461" s="19" t="n">
        <f aca="false">L461-I461*K461</f>
        <v>48</v>
      </c>
    </row>
    <row r="462" customFormat="false" ht="15" hidden="false" customHeight="false" outlineLevel="0" collapsed="false">
      <c r="A462" s="15" t="s">
        <v>504</v>
      </c>
      <c r="B462" s="16" t="n">
        <v>45900</v>
      </c>
      <c r="C462" s="17" t="n">
        <f aca="false">YEAR(B462)</f>
        <v>2025</v>
      </c>
      <c r="D462" s="17" t="n">
        <f aca="false">MONTH(B462)</f>
        <v>8</v>
      </c>
      <c r="E462" s="15" t="s">
        <v>48</v>
      </c>
      <c r="F462" s="15" t="s">
        <v>28</v>
      </c>
      <c r="G462" s="15" t="s">
        <v>35</v>
      </c>
      <c r="H462" s="15" t="s">
        <v>50</v>
      </c>
      <c r="I462" s="15" t="n">
        <v>4</v>
      </c>
      <c r="J462" s="18" t="n">
        <v>149</v>
      </c>
      <c r="K462" s="18" t="n">
        <v>60</v>
      </c>
      <c r="L462" s="19" t="n">
        <f aca="false">I462*J462</f>
        <v>596</v>
      </c>
      <c r="M462" s="19" t="n">
        <f aca="false">L462-I462*K462</f>
        <v>356</v>
      </c>
    </row>
    <row r="463" customFormat="false" ht="15" hidden="false" customHeight="false" outlineLevel="0" collapsed="false">
      <c r="A463" s="15" t="s">
        <v>505</v>
      </c>
      <c r="B463" s="16" t="n">
        <v>45829</v>
      </c>
      <c r="C463" s="17" t="n">
        <f aca="false">YEAR(B463)</f>
        <v>2025</v>
      </c>
      <c r="D463" s="17" t="n">
        <f aca="false">MONTH(B463)</f>
        <v>6</v>
      </c>
      <c r="E463" s="15" t="s">
        <v>37</v>
      </c>
      <c r="F463" s="15" t="s">
        <v>38</v>
      </c>
      <c r="G463" s="15" t="s">
        <v>55</v>
      </c>
      <c r="H463" s="15" t="s">
        <v>30</v>
      </c>
      <c r="I463" s="15" t="n">
        <v>4</v>
      </c>
      <c r="J463" s="18" t="n">
        <v>449</v>
      </c>
      <c r="K463" s="18" t="n">
        <v>260</v>
      </c>
      <c r="L463" s="19" t="n">
        <f aca="false">I463*J463</f>
        <v>1796</v>
      </c>
      <c r="M463" s="19" t="n">
        <f aca="false">L463-I463*K463</f>
        <v>756</v>
      </c>
    </row>
    <row r="464" customFormat="false" ht="15" hidden="false" customHeight="false" outlineLevel="0" collapsed="false">
      <c r="A464" s="15" t="s">
        <v>506</v>
      </c>
      <c r="B464" s="16" t="n">
        <v>45866</v>
      </c>
      <c r="C464" s="17" t="n">
        <f aca="false">YEAR(B464)</f>
        <v>2025</v>
      </c>
      <c r="D464" s="17" t="n">
        <f aca="false">MONTH(B464)</f>
        <v>7</v>
      </c>
      <c r="E464" s="15" t="s">
        <v>27</v>
      </c>
      <c r="F464" s="15" t="s">
        <v>28</v>
      </c>
      <c r="G464" s="15" t="s">
        <v>35</v>
      </c>
      <c r="H464" s="15" t="s">
        <v>50</v>
      </c>
      <c r="I464" s="15" t="n">
        <v>2</v>
      </c>
      <c r="J464" s="18" t="n">
        <v>100</v>
      </c>
      <c r="K464" s="18" t="n">
        <v>88</v>
      </c>
      <c r="L464" s="19" t="n">
        <f aca="false">I464*J464</f>
        <v>200</v>
      </c>
      <c r="M464" s="19" t="n">
        <f aca="false">L464-I464*K464</f>
        <v>24</v>
      </c>
    </row>
    <row r="465" customFormat="false" ht="15" hidden="false" customHeight="false" outlineLevel="0" collapsed="false">
      <c r="A465" s="15" t="s">
        <v>507</v>
      </c>
      <c r="B465" s="16" t="n">
        <v>45790</v>
      </c>
      <c r="C465" s="17" t="n">
        <f aca="false">YEAR(B465)</f>
        <v>2025</v>
      </c>
      <c r="D465" s="17" t="n">
        <f aca="false">MONTH(B465)</f>
        <v>5</v>
      </c>
      <c r="E465" s="15" t="s">
        <v>37</v>
      </c>
      <c r="F465" s="15" t="s">
        <v>38</v>
      </c>
      <c r="G465" s="15" t="s">
        <v>29</v>
      </c>
      <c r="H465" s="15" t="s">
        <v>50</v>
      </c>
      <c r="I465" s="15" t="n">
        <v>3</v>
      </c>
      <c r="J465" s="18" t="n">
        <v>449</v>
      </c>
      <c r="K465" s="18" t="n">
        <v>260</v>
      </c>
      <c r="L465" s="19" t="n">
        <f aca="false">I465*J465</f>
        <v>1347</v>
      </c>
      <c r="M465" s="19" t="n">
        <f aca="false">L465-I465*K465</f>
        <v>567</v>
      </c>
    </row>
    <row r="466" customFormat="false" ht="15" hidden="false" customHeight="false" outlineLevel="0" collapsed="false">
      <c r="A466" s="15" t="s">
        <v>508</v>
      </c>
      <c r="B466" s="16" t="n">
        <v>45386</v>
      </c>
      <c r="C466" s="17" t="n">
        <f aca="false">YEAR(B466)</f>
        <v>2024</v>
      </c>
      <c r="D466" s="17" t="n">
        <f aca="false">MONTH(B466)</f>
        <v>4</v>
      </c>
      <c r="E466" s="15" t="s">
        <v>33</v>
      </c>
      <c r="F466" s="15" t="s">
        <v>34</v>
      </c>
      <c r="G466" s="15" t="s">
        <v>55</v>
      </c>
      <c r="H466" s="15" t="s">
        <v>30</v>
      </c>
      <c r="I466" s="15" t="n">
        <v>2</v>
      </c>
      <c r="J466" s="18" t="n">
        <v>2799</v>
      </c>
      <c r="K466" s="18" t="n">
        <v>2100</v>
      </c>
      <c r="L466" s="19" t="n">
        <f aca="false">I466*J466</f>
        <v>5598</v>
      </c>
      <c r="M466" s="19" t="n">
        <f aca="false">L466-I466*K466</f>
        <v>1398</v>
      </c>
    </row>
    <row r="467" customFormat="false" ht="15" hidden="false" customHeight="false" outlineLevel="0" collapsed="false">
      <c r="A467" s="15" t="s">
        <v>509</v>
      </c>
      <c r="B467" s="16" t="n">
        <v>45610</v>
      </c>
      <c r="C467" s="17" t="n">
        <f aca="false">YEAR(B467)</f>
        <v>2024</v>
      </c>
      <c r="D467" s="17" t="n">
        <f aca="false">MONTH(B467)</f>
        <v>11</v>
      </c>
      <c r="E467" s="15" t="s">
        <v>57</v>
      </c>
      <c r="F467" s="15" t="s">
        <v>38</v>
      </c>
      <c r="G467" s="15" t="s">
        <v>29</v>
      </c>
      <c r="H467" s="15" t="s">
        <v>30</v>
      </c>
      <c r="I467" s="15" t="n">
        <v>1</v>
      </c>
      <c r="J467" s="18" t="n">
        <v>699</v>
      </c>
      <c r="K467" s="18" t="n">
        <v>420</v>
      </c>
      <c r="L467" s="19" t="n">
        <f aca="false">I467*J467</f>
        <v>699</v>
      </c>
      <c r="M467" s="19" t="n">
        <f aca="false">L467-I467*K467</f>
        <v>279</v>
      </c>
    </row>
    <row r="468" customFormat="false" ht="15" hidden="false" customHeight="false" outlineLevel="0" collapsed="false">
      <c r="A468" s="15" t="s">
        <v>510</v>
      </c>
      <c r="B468" s="16" t="n">
        <v>45643</v>
      </c>
      <c r="C468" s="17" t="n">
        <f aca="false">YEAR(B468)</f>
        <v>2024</v>
      </c>
      <c r="D468" s="17" t="n">
        <f aca="false">MONTH(B468)</f>
        <v>12</v>
      </c>
      <c r="E468" s="15" t="s">
        <v>48</v>
      </c>
      <c r="F468" s="15" t="s">
        <v>28</v>
      </c>
      <c r="G468" s="15" t="s">
        <v>29</v>
      </c>
      <c r="H468" s="15" t="s">
        <v>40</v>
      </c>
      <c r="I468" s="15" t="n">
        <v>4</v>
      </c>
      <c r="J468" s="18" t="n">
        <v>149</v>
      </c>
      <c r="K468" s="18" t="n">
        <v>60</v>
      </c>
      <c r="L468" s="19" t="n">
        <f aca="false">I468*J468</f>
        <v>596</v>
      </c>
      <c r="M468" s="19" t="n">
        <f aca="false">L468-I468*K468</f>
        <v>356</v>
      </c>
    </row>
    <row r="469" customFormat="false" ht="15" hidden="false" customHeight="false" outlineLevel="0" collapsed="false">
      <c r="A469" s="15" t="s">
        <v>511</v>
      </c>
      <c r="B469" s="16" t="n">
        <v>45815</v>
      </c>
      <c r="C469" s="17" t="n">
        <f aca="false">YEAR(B469)</f>
        <v>2025</v>
      </c>
      <c r="D469" s="17" t="n">
        <f aca="false">MONTH(B469)</f>
        <v>6</v>
      </c>
      <c r="E469" s="15" t="s">
        <v>33</v>
      </c>
      <c r="F469" s="15" t="s">
        <v>34</v>
      </c>
      <c r="G469" s="15" t="s">
        <v>29</v>
      </c>
      <c r="H469" s="15" t="s">
        <v>30</v>
      </c>
      <c r="I469" s="15" t="n">
        <v>1</v>
      </c>
      <c r="J469" s="18" t="n">
        <v>2799</v>
      </c>
      <c r="K469" s="18" t="n">
        <v>2100</v>
      </c>
      <c r="L469" s="19" t="n">
        <f aca="false">I469*J469</f>
        <v>2799</v>
      </c>
      <c r="M469" s="19" t="n">
        <f aca="false">L469-I469*K469</f>
        <v>699</v>
      </c>
    </row>
    <row r="470" customFormat="false" ht="15" hidden="false" customHeight="false" outlineLevel="0" collapsed="false">
      <c r="A470" s="15" t="s">
        <v>512</v>
      </c>
      <c r="B470" s="16" t="n">
        <v>45870</v>
      </c>
      <c r="C470" s="17" t="n">
        <f aca="false">YEAR(B470)</f>
        <v>2025</v>
      </c>
      <c r="D470" s="17" t="n">
        <f aca="false">MONTH(B470)</f>
        <v>8</v>
      </c>
      <c r="E470" s="15" t="s">
        <v>57</v>
      </c>
      <c r="F470" s="15" t="s">
        <v>38</v>
      </c>
      <c r="G470" s="15" t="s">
        <v>29</v>
      </c>
      <c r="H470" s="15" t="s">
        <v>40</v>
      </c>
      <c r="I470" s="15" t="n">
        <v>3</v>
      </c>
      <c r="J470" s="18" t="n">
        <v>699</v>
      </c>
      <c r="K470" s="18" t="n">
        <v>420</v>
      </c>
      <c r="L470" s="19" t="n">
        <f aca="false">I470*J470</f>
        <v>2097</v>
      </c>
      <c r="M470" s="19" t="n">
        <f aca="false">L470-I470*K470</f>
        <v>837</v>
      </c>
    </row>
    <row r="471" customFormat="false" ht="15" hidden="false" customHeight="false" outlineLevel="0" collapsed="false">
      <c r="A471" s="15" t="s">
        <v>513</v>
      </c>
      <c r="B471" s="16" t="n">
        <v>45335</v>
      </c>
      <c r="C471" s="17" t="n">
        <f aca="false">YEAR(B471)</f>
        <v>2024</v>
      </c>
      <c r="D471" s="17" t="n">
        <f aca="false">MONTH(B471)</f>
        <v>2</v>
      </c>
      <c r="E471" s="15" t="s">
        <v>48</v>
      </c>
      <c r="F471" s="15" t="s">
        <v>28</v>
      </c>
      <c r="G471" s="15" t="s">
        <v>29</v>
      </c>
      <c r="H471" s="15" t="s">
        <v>30</v>
      </c>
      <c r="I471" s="15" t="n">
        <v>1</v>
      </c>
      <c r="J471" s="18" t="n">
        <v>149</v>
      </c>
      <c r="K471" s="18" t="n">
        <v>60</v>
      </c>
      <c r="L471" s="19" t="n">
        <f aca="false">I471*J471</f>
        <v>149</v>
      </c>
      <c r="M471" s="19" t="n">
        <f aca="false">L471-I471*K471</f>
        <v>89</v>
      </c>
    </row>
    <row r="472" customFormat="false" ht="15" hidden="false" customHeight="false" outlineLevel="0" collapsed="false">
      <c r="A472" s="15" t="s">
        <v>514</v>
      </c>
      <c r="B472" s="16" t="n">
        <v>45999</v>
      </c>
      <c r="C472" s="17" t="n">
        <f aca="false">YEAR(B472)</f>
        <v>2025</v>
      </c>
      <c r="D472" s="17" t="n">
        <f aca="false">MONTH(B472)</f>
        <v>12</v>
      </c>
      <c r="E472" s="15" t="s">
        <v>57</v>
      </c>
      <c r="F472" s="15" t="s">
        <v>38</v>
      </c>
      <c r="G472" s="15" t="s">
        <v>55</v>
      </c>
      <c r="H472" s="15" t="s">
        <v>30</v>
      </c>
      <c r="I472" s="15" t="n">
        <v>3</v>
      </c>
      <c r="J472" s="18" t="n">
        <v>699</v>
      </c>
      <c r="K472" s="18" t="n">
        <v>420</v>
      </c>
      <c r="L472" s="19" t="n">
        <f aca="false">I472*J472</f>
        <v>2097</v>
      </c>
      <c r="M472" s="19" t="n">
        <f aca="false">L472-I472*K472</f>
        <v>837</v>
      </c>
    </row>
    <row r="473" customFormat="false" ht="15" hidden="false" customHeight="false" outlineLevel="0" collapsed="false">
      <c r="A473" s="15" t="s">
        <v>515</v>
      </c>
      <c r="B473" s="16" t="n">
        <v>45307</v>
      </c>
      <c r="C473" s="17" t="n">
        <f aca="false">YEAR(B473)</f>
        <v>2024</v>
      </c>
      <c r="D473" s="17" t="n">
        <f aca="false">MONTH(B473)</f>
        <v>1</v>
      </c>
      <c r="E473" s="15" t="s">
        <v>48</v>
      </c>
      <c r="F473" s="15" t="s">
        <v>28</v>
      </c>
      <c r="G473" s="15" t="s">
        <v>39</v>
      </c>
      <c r="H473" s="15" t="s">
        <v>50</v>
      </c>
      <c r="I473" s="15" t="n">
        <v>2</v>
      </c>
      <c r="J473" s="18" t="n">
        <v>149</v>
      </c>
      <c r="K473" s="18" t="n">
        <v>60</v>
      </c>
      <c r="L473" s="19" t="n">
        <f aca="false">I473*J473</f>
        <v>298</v>
      </c>
      <c r="M473" s="19" t="n">
        <f aca="false">L473-I473*K473</f>
        <v>178</v>
      </c>
    </row>
    <row r="474" customFormat="false" ht="15" hidden="false" customHeight="false" outlineLevel="0" collapsed="false">
      <c r="A474" s="15" t="s">
        <v>516</v>
      </c>
      <c r="B474" s="16" t="n">
        <v>45872</v>
      </c>
      <c r="C474" s="17" t="n">
        <f aca="false">YEAR(B474)</f>
        <v>2025</v>
      </c>
      <c r="D474" s="17" t="n">
        <f aca="false">MONTH(B474)</f>
        <v>8</v>
      </c>
      <c r="E474" s="15" t="s">
        <v>37</v>
      </c>
      <c r="F474" s="15" t="s">
        <v>38</v>
      </c>
      <c r="G474" s="15" t="s">
        <v>29</v>
      </c>
      <c r="H474" s="15" t="s">
        <v>30</v>
      </c>
      <c r="I474" s="15" t="n">
        <v>2</v>
      </c>
      <c r="J474" s="18" t="n">
        <v>449</v>
      </c>
      <c r="K474" s="18" t="n">
        <v>260</v>
      </c>
      <c r="L474" s="19" t="n">
        <f aca="false">I474*J474</f>
        <v>898</v>
      </c>
      <c r="M474" s="19" t="n">
        <f aca="false">L474-I474*K474</f>
        <v>378</v>
      </c>
    </row>
    <row r="475" customFormat="false" ht="15" hidden="false" customHeight="false" outlineLevel="0" collapsed="false">
      <c r="A475" s="15" t="s">
        <v>517</v>
      </c>
      <c r="B475" s="16" t="n">
        <v>45416</v>
      </c>
      <c r="C475" s="17" t="n">
        <f aca="false">YEAR(B475)</f>
        <v>2024</v>
      </c>
      <c r="D475" s="17" t="n">
        <f aca="false">MONTH(B475)</f>
        <v>5</v>
      </c>
      <c r="E475" s="15" t="s">
        <v>33</v>
      </c>
      <c r="F475" s="15" t="s">
        <v>34</v>
      </c>
      <c r="G475" s="15" t="s">
        <v>43</v>
      </c>
      <c r="H475" s="15" t="s">
        <v>30</v>
      </c>
      <c r="I475" s="15" t="n">
        <v>1</v>
      </c>
      <c r="J475" s="18" t="n">
        <v>2799</v>
      </c>
      <c r="K475" s="18" t="n">
        <v>2100</v>
      </c>
      <c r="L475" s="19" t="n">
        <f aca="false">I475*J475</f>
        <v>2799</v>
      </c>
      <c r="M475" s="19" t="n">
        <f aca="false">L475-I475*K475</f>
        <v>699</v>
      </c>
    </row>
    <row r="476" customFormat="false" ht="15" hidden="false" customHeight="false" outlineLevel="0" collapsed="false">
      <c r="A476" s="15" t="s">
        <v>518</v>
      </c>
      <c r="B476" s="16" t="n">
        <v>45827</v>
      </c>
      <c r="C476" s="17" t="n">
        <f aca="false">YEAR(B476)</f>
        <v>2025</v>
      </c>
      <c r="D476" s="17" t="n">
        <f aca="false">MONTH(B476)</f>
        <v>6</v>
      </c>
      <c r="E476" s="15" t="s">
        <v>37</v>
      </c>
      <c r="F476" s="15" t="s">
        <v>38</v>
      </c>
      <c r="G476" s="15" t="s">
        <v>29</v>
      </c>
      <c r="H476" s="15" t="s">
        <v>50</v>
      </c>
      <c r="I476" s="15" t="n">
        <v>4</v>
      </c>
      <c r="J476" s="18" t="n">
        <v>449</v>
      </c>
      <c r="K476" s="18" t="n">
        <v>260</v>
      </c>
      <c r="L476" s="19" t="n">
        <f aca="false">I476*J476</f>
        <v>1796</v>
      </c>
      <c r="M476" s="19" t="n">
        <f aca="false">L476-I476*K476</f>
        <v>756</v>
      </c>
    </row>
    <row r="477" customFormat="false" ht="15" hidden="false" customHeight="false" outlineLevel="0" collapsed="false">
      <c r="A477" s="15" t="s">
        <v>519</v>
      </c>
      <c r="B477" s="16" t="n">
        <v>45355</v>
      </c>
      <c r="C477" s="17" t="n">
        <f aca="false">YEAR(B477)</f>
        <v>2024</v>
      </c>
      <c r="D477" s="17" t="n">
        <f aca="false">MONTH(B477)</f>
        <v>3</v>
      </c>
      <c r="E477" s="15" t="s">
        <v>48</v>
      </c>
      <c r="F477" s="15" t="s">
        <v>28</v>
      </c>
      <c r="G477" s="15" t="s">
        <v>39</v>
      </c>
      <c r="H477" s="15" t="s">
        <v>30</v>
      </c>
      <c r="I477" s="15" t="n">
        <v>3</v>
      </c>
      <c r="J477" s="18" t="n">
        <v>149</v>
      </c>
      <c r="K477" s="18" t="n">
        <v>60</v>
      </c>
      <c r="L477" s="19" t="n">
        <f aca="false">I477*J477</f>
        <v>447</v>
      </c>
      <c r="M477" s="19" t="n">
        <f aca="false">L477-I477*K477</f>
        <v>267</v>
      </c>
    </row>
    <row r="478" customFormat="false" ht="15" hidden="false" customHeight="false" outlineLevel="0" collapsed="false">
      <c r="A478" s="15" t="s">
        <v>520</v>
      </c>
      <c r="B478" s="16" t="n">
        <v>45574</v>
      </c>
      <c r="C478" s="17" t="n">
        <f aca="false">YEAR(B478)</f>
        <v>2024</v>
      </c>
      <c r="D478" s="17" t="n">
        <f aca="false">MONTH(B478)</f>
        <v>10</v>
      </c>
      <c r="E478" s="15" t="s">
        <v>33</v>
      </c>
      <c r="F478" s="15" t="s">
        <v>34</v>
      </c>
      <c r="G478" s="15" t="s">
        <v>29</v>
      </c>
      <c r="H478" s="15" t="s">
        <v>50</v>
      </c>
      <c r="I478" s="15" t="n">
        <v>2</v>
      </c>
      <c r="J478" s="18" t="n">
        <v>2799</v>
      </c>
      <c r="K478" s="18" t="n">
        <v>2100</v>
      </c>
      <c r="L478" s="19" t="n">
        <f aca="false">I478*J478</f>
        <v>5598</v>
      </c>
      <c r="M478" s="19" t="n">
        <f aca="false">L478-I478*K478</f>
        <v>1398</v>
      </c>
    </row>
    <row r="479" customFormat="false" ht="15" hidden="false" customHeight="false" outlineLevel="0" collapsed="false">
      <c r="A479" s="15" t="s">
        <v>521</v>
      </c>
      <c r="B479" s="16" t="n">
        <v>45888</v>
      </c>
      <c r="C479" s="17" t="n">
        <f aca="false">YEAR(B479)</f>
        <v>2025</v>
      </c>
      <c r="D479" s="17" t="n">
        <f aca="false">MONTH(B479)</f>
        <v>8</v>
      </c>
      <c r="E479" s="15" t="s">
        <v>62</v>
      </c>
      <c r="F479" s="15" t="s">
        <v>34</v>
      </c>
      <c r="G479" s="15" t="s">
        <v>29</v>
      </c>
      <c r="H479" s="15" t="s">
        <v>30</v>
      </c>
      <c r="I479" s="15" t="n">
        <v>1</v>
      </c>
      <c r="J479" s="18" t="n">
        <v>4499</v>
      </c>
      <c r="K479" s="18" t="n">
        <v>3400</v>
      </c>
      <c r="L479" s="19" t="n">
        <f aca="false">I479*J479</f>
        <v>4499</v>
      </c>
      <c r="M479" s="19" t="n">
        <f aca="false">L479-I479*K479</f>
        <v>1099</v>
      </c>
    </row>
    <row r="480" customFormat="false" ht="15" hidden="false" customHeight="false" outlineLevel="0" collapsed="false">
      <c r="A480" s="15" t="s">
        <v>522</v>
      </c>
      <c r="B480" s="16" t="n">
        <v>45347</v>
      </c>
      <c r="C480" s="17" t="n">
        <f aca="false">YEAR(B480)</f>
        <v>2024</v>
      </c>
      <c r="D480" s="17" t="n">
        <f aca="false">MONTH(B480)</f>
        <v>2</v>
      </c>
      <c r="E480" s="15" t="s">
        <v>37</v>
      </c>
      <c r="F480" s="15" t="s">
        <v>38</v>
      </c>
      <c r="G480" s="15" t="s">
        <v>29</v>
      </c>
      <c r="H480" s="15" t="s">
        <v>50</v>
      </c>
      <c r="I480" s="15" t="n">
        <v>4</v>
      </c>
      <c r="J480" s="18" t="n">
        <v>449</v>
      </c>
      <c r="K480" s="18" t="n">
        <v>260</v>
      </c>
      <c r="L480" s="19" t="n">
        <f aca="false">I480*J480</f>
        <v>1796</v>
      </c>
      <c r="M480" s="19" t="n">
        <f aca="false">L480-I480*K480</f>
        <v>756</v>
      </c>
    </row>
    <row r="481" customFormat="false" ht="15" hidden="false" customHeight="false" outlineLevel="0" collapsed="false">
      <c r="A481" s="15" t="s">
        <v>523</v>
      </c>
      <c r="B481" s="16" t="n">
        <v>45742</v>
      </c>
      <c r="C481" s="17" t="n">
        <f aca="false">YEAR(B481)</f>
        <v>2025</v>
      </c>
      <c r="D481" s="17" t="n">
        <f aca="false">MONTH(B481)</f>
        <v>3</v>
      </c>
      <c r="E481" s="15" t="s">
        <v>62</v>
      </c>
      <c r="F481" s="15" t="s">
        <v>34</v>
      </c>
      <c r="G481" s="15" t="s">
        <v>39</v>
      </c>
      <c r="H481" s="15" t="s">
        <v>30</v>
      </c>
      <c r="I481" s="15" t="n">
        <v>1</v>
      </c>
      <c r="J481" s="18" t="n">
        <v>4499</v>
      </c>
      <c r="K481" s="18" t="n">
        <v>3400</v>
      </c>
      <c r="L481" s="19" t="n">
        <f aca="false">I481*J481</f>
        <v>4499</v>
      </c>
      <c r="M481" s="19" t="n">
        <f aca="false">L481-I481*K481</f>
        <v>1099</v>
      </c>
    </row>
    <row r="482" customFormat="false" ht="15" hidden="false" customHeight="false" outlineLevel="0" collapsed="false">
      <c r="A482" s="15" t="s">
        <v>524</v>
      </c>
      <c r="B482" s="16" t="n">
        <v>45893</v>
      </c>
      <c r="C482" s="17" t="n">
        <f aca="false">YEAR(B482)</f>
        <v>2025</v>
      </c>
      <c r="D482" s="17" t="n">
        <f aca="false">MONTH(B482)</f>
        <v>8</v>
      </c>
      <c r="E482" s="15" t="s">
        <v>27</v>
      </c>
      <c r="F482" s="15" t="s">
        <v>28</v>
      </c>
      <c r="G482" s="15" t="s">
        <v>43</v>
      </c>
      <c r="H482" s="15" t="s">
        <v>50</v>
      </c>
      <c r="I482" s="15" t="n">
        <v>3</v>
      </c>
      <c r="J482" s="18" t="n">
        <v>100</v>
      </c>
      <c r="K482" s="18" t="n">
        <v>88</v>
      </c>
      <c r="L482" s="19" t="n">
        <f aca="false">I482*J482</f>
        <v>300</v>
      </c>
      <c r="M482" s="19" t="n">
        <f aca="false">L482-I482*K482</f>
        <v>36</v>
      </c>
    </row>
    <row r="483" customFormat="false" ht="15" hidden="false" customHeight="false" outlineLevel="0" collapsed="false">
      <c r="A483" s="15" t="s">
        <v>525</v>
      </c>
      <c r="B483" s="16" t="n">
        <v>45758</v>
      </c>
      <c r="C483" s="17" t="n">
        <f aca="false">YEAR(B483)</f>
        <v>2025</v>
      </c>
      <c r="D483" s="17" t="n">
        <f aca="false">MONTH(B483)</f>
        <v>4</v>
      </c>
      <c r="E483" s="15" t="s">
        <v>37</v>
      </c>
      <c r="F483" s="15" t="s">
        <v>38</v>
      </c>
      <c r="G483" s="15" t="s">
        <v>35</v>
      </c>
      <c r="H483" s="15" t="s">
        <v>40</v>
      </c>
      <c r="I483" s="15" t="n">
        <v>3</v>
      </c>
      <c r="J483" s="18" t="n">
        <v>449</v>
      </c>
      <c r="K483" s="18" t="n">
        <v>260</v>
      </c>
      <c r="L483" s="19" t="n">
        <f aca="false">I483*J483</f>
        <v>1347</v>
      </c>
      <c r="M483" s="19" t="n">
        <f aca="false">L483-I483*K483</f>
        <v>567</v>
      </c>
    </row>
    <row r="484" customFormat="false" ht="15" hidden="false" customHeight="false" outlineLevel="0" collapsed="false">
      <c r="A484" s="15" t="s">
        <v>526</v>
      </c>
      <c r="B484" s="16" t="n">
        <v>45361</v>
      </c>
      <c r="C484" s="17" t="n">
        <f aca="false">YEAR(B484)</f>
        <v>2024</v>
      </c>
      <c r="D484" s="17" t="n">
        <f aca="false">MONTH(B484)</f>
        <v>3</v>
      </c>
      <c r="E484" s="15" t="s">
        <v>37</v>
      </c>
      <c r="F484" s="15" t="s">
        <v>38</v>
      </c>
      <c r="G484" s="15" t="s">
        <v>29</v>
      </c>
      <c r="H484" s="15" t="s">
        <v>40</v>
      </c>
      <c r="I484" s="15" t="n">
        <v>4</v>
      </c>
      <c r="J484" s="18" t="n">
        <v>449</v>
      </c>
      <c r="K484" s="18" t="n">
        <v>260</v>
      </c>
      <c r="L484" s="19" t="n">
        <f aca="false">I484*J484</f>
        <v>1796</v>
      </c>
      <c r="M484" s="19" t="n">
        <f aca="false">L484-I484*K484</f>
        <v>756</v>
      </c>
    </row>
    <row r="485" customFormat="false" ht="15" hidden="false" customHeight="false" outlineLevel="0" collapsed="false">
      <c r="A485" s="15" t="s">
        <v>527</v>
      </c>
      <c r="B485" s="16" t="n">
        <v>45715</v>
      </c>
      <c r="C485" s="17" t="n">
        <f aca="false">YEAR(B485)</f>
        <v>2025</v>
      </c>
      <c r="D485" s="17" t="n">
        <f aca="false">MONTH(B485)</f>
        <v>2</v>
      </c>
      <c r="E485" s="15" t="s">
        <v>37</v>
      </c>
      <c r="F485" s="15" t="s">
        <v>38</v>
      </c>
      <c r="G485" s="15" t="s">
        <v>43</v>
      </c>
      <c r="H485" s="15" t="s">
        <v>50</v>
      </c>
      <c r="I485" s="15" t="n">
        <v>4</v>
      </c>
      <c r="J485" s="18" t="n">
        <v>449</v>
      </c>
      <c r="K485" s="18" t="n">
        <v>260</v>
      </c>
      <c r="L485" s="19" t="n">
        <f aca="false">I485*J485</f>
        <v>1796</v>
      </c>
      <c r="M485" s="19" t="n">
        <f aca="false">L485-I485*K485</f>
        <v>756</v>
      </c>
    </row>
    <row r="486" customFormat="false" ht="15" hidden="false" customHeight="false" outlineLevel="0" collapsed="false">
      <c r="A486" s="15" t="s">
        <v>528</v>
      </c>
      <c r="B486" s="16" t="n">
        <v>45381</v>
      </c>
      <c r="C486" s="17" t="n">
        <f aca="false">YEAR(B486)</f>
        <v>2024</v>
      </c>
      <c r="D486" s="17" t="n">
        <f aca="false">MONTH(B486)</f>
        <v>3</v>
      </c>
      <c r="E486" s="15" t="s">
        <v>33</v>
      </c>
      <c r="F486" s="15" t="s">
        <v>34</v>
      </c>
      <c r="G486" s="15" t="s">
        <v>55</v>
      </c>
      <c r="H486" s="15" t="s">
        <v>30</v>
      </c>
      <c r="I486" s="15" t="n">
        <v>2</v>
      </c>
      <c r="J486" s="18" t="n">
        <v>2799</v>
      </c>
      <c r="K486" s="18" t="n">
        <v>2100</v>
      </c>
      <c r="L486" s="19" t="n">
        <f aca="false">I486*J486</f>
        <v>5598</v>
      </c>
      <c r="M486" s="19" t="n">
        <f aca="false">L486-I486*K486</f>
        <v>1398</v>
      </c>
    </row>
    <row r="487" customFormat="false" ht="15" hidden="false" customHeight="false" outlineLevel="0" collapsed="false">
      <c r="A487" s="15" t="s">
        <v>529</v>
      </c>
      <c r="B487" s="16" t="n">
        <v>45589</v>
      </c>
      <c r="C487" s="17" t="n">
        <f aca="false">YEAR(B487)</f>
        <v>2024</v>
      </c>
      <c r="D487" s="17" t="n">
        <f aca="false">MONTH(B487)</f>
        <v>10</v>
      </c>
      <c r="E487" s="15" t="s">
        <v>37</v>
      </c>
      <c r="F487" s="15" t="s">
        <v>38</v>
      </c>
      <c r="G487" s="15" t="s">
        <v>39</v>
      </c>
      <c r="H487" s="15" t="s">
        <v>40</v>
      </c>
      <c r="I487" s="15" t="n">
        <v>3</v>
      </c>
      <c r="J487" s="18" t="n">
        <v>449</v>
      </c>
      <c r="K487" s="18" t="n">
        <v>260</v>
      </c>
      <c r="L487" s="19" t="n">
        <f aca="false">I487*J487</f>
        <v>1347</v>
      </c>
      <c r="M487" s="19" t="n">
        <f aca="false">L487-I487*K487</f>
        <v>567</v>
      </c>
    </row>
    <row r="488" customFormat="false" ht="15" hidden="false" customHeight="false" outlineLevel="0" collapsed="false">
      <c r="A488" s="15" t="s">
        <v>530</v>
      </c>
      <c r="B488" s="16" t="n">
        <v>45686</v>
      </c>
      <c r="C488" s="17" t="n">
        <f aca="false">YEAR(B488)</f>
        <v>2025</v>
      </c>
      <c r="D488" s="17" t="n">
        <f aca="false">MONTH(B488)</f>
        <v>1</v>
      </c>
      <c r="E488" s="15" t="s">
        <v>37</v>
      </c>
      <c r="F488" s="15" t="s">
        <v>38</v>
      </c>
      <c r="G488" s="15" t="s">
        <v>35</v>
      </c>
      <c r="H488" s="15" t="s">
        <v>40</v>
      </c>
      <c r="I488" s="15" t="n">
        <v>1</v>
      </c>
      <c r="J488" s="18" t="n">
        <v>449</v>
      </c>
      <c r="K488" s="18" t="n">
        <v>260</v>
      </c>
      <c r="L488" s="19" t="n">
        <f aca="false">I488*J488</f>
        <v>449</v>
      </c>
      <c r="M488" s="19" t="n">
        <f aca="false">L488-I488*K488</f>
        <v>189</v>
      </c>
    </row>
    <row r="489" customFormat="false" ht="15" hidden="false" customHeight="false" outlineLevel="0" collapsed="false">
      <c r="A489" s="15" t="s">
        <v>531</v>
      </c>
      <c r="B489" s="16" t="n">
        <v>45651</v>
      </c>
      <c r="C489" s="17" t="n">
        <f aca="false">YEAR(B489)</f>
        <v>2024</v>
      </c>
      <c r="D489" s="17" t="n">
        <f aca="false">MONTH(B489)</f>
        <v>12</v>
      </c>
      <c r="E489" s="15" t="s">
        <v>57</v>
      </c>
      <c r="F489" s="15" t="s">
        <v>38</v>
      </c>
      <c r="G489" s="15" t="s">
        <v>39</v>
      </c>
      <c r="H489" s="15" t="s">
        <v>30</v>
      </c>
      <c r="I489" s="15" t="n">
        <v>4</v>
      </c>
      <c r="J489" s="18" t="n">
        <v>699</v>
      </c>
      <c r="K489" s="18" t="n">
        <v>420</v>
      </c>
      <c r="L489" s="19" t="n">
        <f aca="false">I489*J489</f>
        <v>2796</v>
      </c>
      <c r="M489" s="19" t="n">
        <f aca="false">L489-I489*K489</f>
        <v>1116</v>
      </c>
    </row>
    <row r="490" customFormat="false" ht="15" hidden="false" customHeight="false" outlineLevel="0" collapsed="false">
      <c r="A490" s="15" t="s">
        <v>532</v>
      </c>
      <c r="B490" s="16" t="n">
        <v>45534</v>
      </c>
      <c r="C490" s="17" t="n">
        <f aca="false">YEAR(B490)</f>
        <v>2024</v>
      </c>
      <c r="D490" s="17" t="n">
        <f aca="false">MONTH(B490)</f>
        <v>8</v>
      </c>
      <c r="E490" s="15" t="s">
        <v>37</v>
      </c>
      <c r="F490" s="15" t="s">
        <v>38</v>
      </c>
      <c r="G490" s="15" t="s">
        <v>29</v>
      </c>
      <c r="H490" s="15" t="s">
        <v>30</v>
      </c>
      <c r="I490" s="15" t="n">
        <v>3</v>
      </c>
      <c r="J490" s="18" t="n">
        <v>449</v>
      </c>
      <c r="K490" s="18" t="n">
        <v>260</v>
      </c>
      <c r="L490" s="19" t="n">
        <f aca="false">I490*J490</f>
        <v>1347</v>
      </c>
      <c r="M490" s="19" t="n">
        <f aca="false">L490-I490*K490</f>
        <v>567</v>
      </c>
    </row>
    <row r="491" customFormat="false" ht="15" hidden="false" customHeight="false" outlineLevel="0" collapsed="false">
      <c r="A491" s="15" t="s">
        <v>533</v>
      </c>
      <c r="B491" s="16" t="n">
        <v>45451</v>
      </c>
      <c r="C491" s="17" t="n">
        <f aca="false">YEAR(B491)</f>
        <v>2024</v>
      </c>
      <c r="D491" s="17" t="n">
        <f aca="false">MONTH(B491)</f>
        <v>6</v>
      </c>
      <c r="E491" s="15" t="s">
        <v>37</v>
      </c>
      <c r="F491" s="15" t="s">
        <v>38</v>
      </c>
      <c r="G491" s="15" t="s">
        <v>39</v>
      </c>
      <c r="H491" s="15" t="s">
        <v>30</v>
      </c>
      <c r="I491" s="15" t="n">
        <v>2</v>
      </c>
      <c r="J491" s="18" t="n">
        <v>449</v>
      </c>
      <c r="K491" s="18" t="n">
        <v>260</v>
      </c>
      <c r="L491" s="19" t="n">
        <f aca="false">I491*J491</f>
        <v>898</v>
      </c>
      <c r="M491" s="19" t="n">
        <f aca="false">L491-I491*K491</f>
        <v>378</v>
      </c>
    </row>
    <row r="492" customFormat="false" ht="15" hidden="false" customHeight="false" outlineLevel="0" collapsed="false">
      <c r="A492" s="15" t="s">
        <v>534</v>
      </c>
      <c r="B492" s="16" t="n">
        <v>45422</v>
      </c>
      <c r="C492" s="17" t="n">
        <f aca="false">YEAR(B492)</f>
        <v>2024</v>
      </c>
      <c r="D492" s="17" t="n">
        <f aca="false">MONTH(B492)</f>
        <v>5</v>
      </c>
      <c r="E492" s="15" t="s">
        <v>57</v>
      </c>
      <c r="F492" s="15" t="s">
        <v>38</v>
      </c>
      <c r="G492" s="15" t="s">
        <v>35</v>
      </c>
      <c r="H492" s="15" t="s">
        <v>50</v>
      </c>
      <c r="I492" s="15" t="n">
        <v>4</v>
      </c>
      <c r="J492" s="18" t="n">
        <v>699</v>
      </c>
      <c r="K492" s="18" t="n">
        <v>420</v>
      </c>
      <c r="L492" s="19" t="n">
        <f aca="false">I492*J492</f>
        <v>2796</v>
      </c>
      <c r="M492" s="19" t="n">
        <f aca="false">L492-I492*K492</f>
        <v>1116</v>
      </c>
    </row>
    <row r="493" customFormat="false" ht="15" hidden="false" customHeight="false" outlineLevel="0" collapsed="false">
      <c r="A493" s="15" t="s">
        <v>535</v>
      </c>
      <c r="B493" s="16" t="n">
        <v>45455</v>
      </c>
      <c r="C493" s="17" t="n">
        <f aca="false">YEAR(B493)</f>
        <v>2024</v>
      </c>
      <c r="D493" s="17" t="n">
        <f aca="false">MONTH(B493)</f>
        <v>6</v>
      </c>
      <c r="E493" s="15" t="s">
        <v>37</v>
      </c>
      <c r="F493" s="15" t="s">
        <v>38</v>
      </c>
      <c r="G493" s="15" t="s">
        <v>29</v>
      </c>
      <c r="H493" s="15" t="s">
        <v>30</v>
      </c>
      <c r="I493" s="15" t="n">
        <v>2</v>
      </c>
      <c r="J493" s="18" t="n">
        <v>449</v>
      </c>
      <c r="K493" s="18" t="n">
        <v>260</v>
      </c>
      <c r="L493" s="19" t="n">
        <f aca="false">I493*J493</f>
        <v>898</v>
      </c>
      <c r="M493" s="19" t="n">
        <f aca="false">L493-I493*K493</f>
        <v>378</v>
      </c>
    </row>
    <row r="494" customFormat="false" ht="15" hidden="false" customHeight="false" outlineLevel="0" collapsed="false">
      <c r="A494" s="15" t="s">
        <v>536</v>
      </c>
      <c r="B494" s="16" t="n">
        <v>45886</v>
      </c>
      <c r="C494" s="17" t="n">
        <f aca="false">YEAR(B494)</f>
        <v>2025</v>
      </c>
      <c r="D494" s="17" t="n">
        <f aca="false">MONTH(B494)</f>
        <v>8</v>
      </c>
      <c r="E494" s="15" t="s">
        <v>33</v>
      </c>
      <c r="F494" s="15" t="s">
        <v>34</v>
      </c>
      <c r="G494" s="15" t="s">
        <v>29</v>
      </c>
      <c r="H494" s="15" t="s">
        <v>30</v>
      </c>
      <c r="I494" s="15" t="n">
        <v>2</v>
      </c>
      <c r="J494" s="18" t="n">
        <v>2799</v>
      </c>
      <c r="K494" s="18" t="n">
        <v>2100</v>
      </c>
      <c r="L494" s="19" t="n">
        <f aca="false">I494*J494</f>
        <v>5598</v>
      </c>
      <c r="M494" s="19" t="n">
        <f aca="false">L494-I494*K494</f>
        <v>1398</v>
      </c>
    </row>
    <row r="495" customFormat="false" ht="15" hidden="false" customHeight="false" outlineLevel="0" collapsed="false">
      <c r="A495" s="15" t="s">
        <v>537</v>
      </c>
      <c r="B495" s="16" t="n">
        <v>45755</v>
      </c>
      <c r="C495" s="17" t="n">
        <f aca="false">YEAR(B495)</f>
        <v>2025</v>
      </c>
      <c r="D495" s="17" t="n">
        <f aca="false">MONTH(B495)</f>
        <v>4</v>
      </c>
      <c r="E495" s="15" t="s">
        <v>48</v>
      </c>
      <c r="F495" s="15" t="s">
        <v>28</v>
      </c>
      <c r="G495" s="15" t="s">
        <v>29</v>
      </c>
      <c r="H495" s="15" t="s">
        <v>40</v>
      </c>
      <c r="I495" s="15" t="n">
        <v>3</v>
      </c>
      <c r="J495" s="18" t="n">
        <v>149</v>
      </c>
      <c r="K495" s="18" t="n">
        <v>60</v>
      </c>
      <c r="L495" s="19" t="n">
        <f aca="false">I495*J495</f>
        <v>447</v>
      </c>
      <c r="M495" s="19" t="n">
        <f aca="false">L495-I495*K495</f>
        <v>267</v>
      </c>
    </row>
    <row r="496" customFormat="false" ht="15" hidden="false" customHeight="false" outlineLevel="0" collapsed="false">
      <c r="A496" s="15" t="s">
        <v>538</v>
      </c>
      <c r="B496" s="16" t="n">
        <v>45668</v>
      </c>
      <c r="C496" s="17" t="n">
        <f aca="false">YEAR(B496)</f>
        <v>2025</v>
      </c>
      <c r="D496" s="17" t="n">
        <f aca="false">MONTH(B496)</f>
        <v>1</v>
      </c>
      <c r="E496" s="15" t="s">
        <v>57</v>
      </c>
      <c r="F496" s="15" t="s">
        <v>38</v>
      </c>
      <c r="G496" s="15" t="s">
        <v>29</v>
      </c>
      <c r="H496" s="15" t="s">
        <v>30</v>
      </c>
      <c r="I496" s="15" t="n">
        <v>4</v>
      </c>
      <c r="J496" s="18" t="n">
        <v>699</v>
      </c>
      <c r="K496" s="18" t="n">
        <v>420</v>
      </c>
      <c r="L496" s="19" t="n">
        <f aca="false">I496*J496</f>
        <v>2796</v>
      </c>
      <c r="M496" s="19" t="n">
        <f aca="false">L496-I496*K496</f>
        <v>1116</v>
      </c>
    </row>
    <row r="497" customFormat="false" ht="15" hidden="false" customHeight="false" outlineLevel="0" collapsed="false">
      <c r="A497" s="15" t="s">
        <v>539</v>
      </c>
      <c r="B497" s="16" t="n">
        <v>45417</v>
      </c>
      <c r="C497" s="17" t="n">
        <f aca="false">YEAR(B497)</f>
        <v>2024</v>
      </c>
      <c r="D497" s="17" t="n">
        <f aca="false">MONTH(B497)</f>
        <v>5</v>
      </c>
      <c r="E497" s="15" t="s">
        <v>48</v>
      </c>
      <c r="F497" s="15" t="s">
        <v>28</v>
      </c>
      <c r="G497" s="15" t="s">
        <v>29</v>
      </c>
      <c r="H497" s="15" t="s">
        <v>30</v>
      </c>
      <c r="I497" s="15" t="n">
        <v>1</v>
      </c>
      <c r="J497" s="18" t="n">
        <v>149</v>
      </c>
      <c r="K497" s="18" t="n">
        <v>60</v>
      </c>
      <c r="L497" s="19" t="n">
        <f aca="false">I497*J497</f>
        <v>149</v>
      </c>
      <c r="M497" s="19" t="n">
        <f aca="false">L497-I497*K497</f>
        <v>89</v>
      </c>
    </row>
    <row r="498" customFormat="false" ht="15" hidden="false" customHeight="false" outlineLevel="0" collapsed="false">
      <c r="A498" s="15" t="s">
        <v>540</v>
      </c>
      <c r="B498" s="16" t="n">
        <v>45686</v>
      </c>
      <c r="C498" s="17" t="n">
        <f aca="false">YEAR(B498)</f>
        <v>2025</v>
      </c>
      <c r="D498" s="17" t="n">
        <f aca="false">MONTH(B498)</f>
        <v>1</v>
      </c>
      <c r="E498" s="15" t="s">
        <v>62</v>
      </c>
      <c r="F498" s="15" t="s">
        <v>34</v>
      </c>
      <c r="G498" s="15" t="s">
        <v>55</v>
      </c>
      <c r="H498" s="15" t="s">
        <v>30</v>
      </c>
      <c r="I498" s="15" t="n">
        <v>1</v>
      </c>
      <c r="J498" s="18" t="n">
        <v>4499</v>
      </c>
      <c r="K498" s="18" t="n">
        <v>3400</v>
      </c>
      <c r="L498" s="19" t="n">
        <f aca="false">I498*J498</f>
        <v>4499</v>
      </c>
      <c r="M498" s="19" t="n">
        <f aca="false">L498-I498*K498</f>
        <v>1099</v>
      </c>
    </row>
    <row r="499" customFormat="false" ht="15" hidden="false" customHeight="false" outlineLevel="0" collapsed="false">
      <c r="A499" s="15" t="s">
        <v>541</v>
      </c>
      <c r="B499" s="16" t="n">
        <v>45380</v>
      </c>
      <c r="C499" s="17" t="n">
        <f aca="false">YEAR(B499)</f>
        <v>2024</v>
      </c>
      <c r="D499" s="17" t="n">
        <f aca="false">MONTH(B499)</f>
        <v>3</v>
      </c>
      <c r="E499" s="15" t="s">
        <v>48</v>
      </c>
      <c r="F499" s="15" t="s">
        <v>28</v>
      </c>
      <c r="G499" s="15" t="s">
        <v>55</v>
      </c>
      <c r="H499" s="15" t="s">
        <v>40</v>
      </c>
      <c r="I499" s="15" t="n">
        <v>2</v>
      </c>
      <c r="J499" s="18" t="n">
        <v>149</v>
      </c>
      <c r="K499" s="18" t="n">
        <v>60</v>
      </c>
      <c r="L499" s="19" t="n">
        <f aca="false">I499*J499</f>
        <v>298</v>
      </c>
      <c r="M499" s="19" t="n">
        <f aca="false">L499-I499*K499</f>
        <v>178</v>
      </c>
    </row>
    <row r="500" customFormat="false" ht="15" hidden="false" customHeight="false" outlineLevel="0" collapsed="false">
      <c r="A500" s="15" t="s">
        <v>542</v>
      </c>
      <c r="B500" s="16" t="n">
        <v>45403</v>
      </c>
      <c r="C500" s="17" t="n">
        <f aca="false">YEAR(B500)</f>
        <v>2024</v>
      </c>
      <c r="D500" s="17" t="n">
        <f aca="false">MONTH(B500)</f>
        <v>4</v>
      </c>
      <c r="E500" s="15" t="s">
        <v>62</v>
      </c>
      <c r="F500" s="15" t="s">
        <v>34</v>
      </c>
      <c r="G500" s="15" t="s">
        <v>35</v>
      </c>
      <c r="H500" s="15" t="s">
        <v>50</v>
      </c>
      <c r="I500" s="15" t="n">
        <v>2</v>
      </c>
      <c r="J500" s="18" t="n">
        <v>4499</v>
      </c>
      <c r="K500" s="18" t="n">
        <v>3400</v>
      </c>
      <c r="L500" s="19" t="n">
        <f aca="false">I500*J500</f>
        <v>8998</v>
      </c>
      <c r="M500" s="19" t="n">
        <f aca="false">L500-I500*K500</f>
        <v>2198</v>
      </c>
    </row>
    <row r="501" customFormat="false" ht="15" hidden="false" customHeight="false" outlineLevel="0" collapsed="false">
      <c r="A501" s="15" t="s">
        <v>543</v>
      </c>
      <c r="B501" s="16" t="n">
        <v>45489</v>
      </c>
      <c r="C501" s="17" t="n">
        <f aca="false">YEAR(B501)</f>
        <v>2024</v>
      </c>
      <c r="D501" s="17" t="n">
        <f aca="false">MONTH(B501)</f>
        <v>7</v>
      </c>
      <c r="E501" s="15" t="s">
        <v>62</v>
      </c>
      <c r="F501" s="15" t="s">
        <v>34</v>
      </c>
      <c r="G501" s="15" t="s">
        <v>39</v>
      </c>
      <c r="H501" s="15" t="s">
        <v>30</v>
      </c>
      <c r="I501" s="15" t="n">
        <v>2</v>
      </c>
      <c r="J501" s="18" t="n">
        <v>4499</v>
      </c>
      <c r="K501" s="18" t="n">
        <v>3400</v>
      </c>
      <c r="L501" s="19" t="n">
        <f aca="false">I501*J501</f>
        <v>8998</v>
      </c>
      <c r="M501" s="19" t="n">
        <f aca="false">L501-I501*K501</f>
        <v>2198</v>
      </c>
    </row>
    <row r="502" customFormat="false" ht="15" hidden="false" customHeight="false" outlineLevel="0" collapsed="false">
      <c r="A502" s="15" t="s">
        <v>544</v>
      </c>
      <c r="B502" s="16" t="n">
        <v>45700</v>
      </c>
      <c r="C502" s="17" t="n">
        <f aca="false">YEAR(B502)</f>
        <v>2025</v>
      </c>
      <c r="D502" s="17" t="n">
        <f aca="false">MONTH(B502)</f>
        <v>2</v>
      </c>
      <c r="E502" s="15" t="s">
        <v>37</v>
      </c>
      <c r="F502" s="15" t="s">
        <v>38</v>
      </c>
      <c r="G502" s="15" t="s">
        <v>35</v>
      </c>
      <c r="H502" s="15" t="s">
        <v>40</v>
      </c>
      <c r="I502" s="15" t="n">
        <v>4</v>
      </c>
      <c r="J502" s="18" t="n">
        <v>449</v>
      </c>
      <c r="K502" s="18" t="n">
        <v>260</v>
      </c>
      <c r="L502" s="19" t="n">
        <f aca="false">I502*J502</f>
        <v>1796</v>
      </c>
      <c r="M502" s="19" t="n">
        <f aca="false">L502-I502*K502</f>
        <v>756</v>
      </c>
    </row>
    <row r="503" customFormat="false" ht="15" hidden="false" customHeight="false" outlineLevel="0" collapsed="false">
      <c r="A503" s="15" t="s">
        <v>545</v>
      </c>
      <c r="B503" s="16" t="n">
        <v>45935</v>
      </c>
      <c r="C503" s="17" t="n">
        <f aca="false">YEAR(B503)</f>
        <v>2025</v>
      </c>
      <c r="D503" s="17" t="n">
        <f aca="false">MONTH(B503)</f>
        <v>10</v>
      </c>
      <c r="E503" s="15" t="s">
        <v>27</v>
      </c>
      <c r="F503" s="15" t="s">
        <v>28</v>
      </c>
      <c r="G503" s="15" t="s">
        <v>35</v>
      </c>
      <c r="H503" s="15" t="s">
        <v>30</v>
      </c>
      <c r="I503" s="15" t="n">
        <v>2</v>
      </c>
      <c r="J503" s="18" t="n">
        <v>100</v>
      </c>
      <c r="K503" s="18" t="n">
        <v>88</v>
      </c>
      <c r="L503" s="19" t="n">
        <f aca="false">I503*J503</f>
        <v>200</v>
      </c>
      <c r="M503" s="19" t="n">
        <f aca="false">L503-I503*K503</f>
        <v>24</v>
      </c>
    </row>
    <row r="504" customFormat="false" ht="15" hidden="false" customHeight="false" outlineLevel="0" collapsed="false">
      <c r="A504" s="15" t="s">
        <v>546</v>
      </c>
      <c r="B504" s="16" t="n">
        <v>45667</v>
      </c>
      <c r="C504" s="17" t="n">
        <f aca="false">YEAR(B504)</f>
        <v>2025</v>
      </c>
      <c r="D504" s="17" t="n">
        <f aca="false">MONTH(B504)</f>
        <v>1</v>
      </c>
      <c r="E504" s="15" t="s">
        <v>48</v>
      </c>
      <c r="F504" s="15" t="s">
        <v>28</v>
      </c>
      <c r="G504" s="15" t="s">
        <v>35</v>
      </c>
      <c r="H504" s="15" t="s">
        <v>30</v>
      </c>
      <c r="I504" s="15" t="n">
        <v>3</v>
      </c>
      <c r="J504" s="18" t="n">
        <v>149</v>
      </c>
      <c r="K504" s="18" t="n">
        <v>60</v>
      </c>
      <c r="L504" s="19" t="n">
        <f aca="false">I504*J504</f>
        <v>447</v>
      </c>
      <c r="M504" s="19" t="n">
        <f aca="false">L504-I504*K504</f>
        <v>267</v>
      </c>
    </row>
    <row r="505" customFormat="false" ht="15" hidden="false" customHeight="false" outlineLevel="0" collapsed="false">
      <c r="A505" s="15" t="s">
        <v>547</v>
      </c>
      <c r="B505" s="16" t="n">
        <v>46012</v>
      </c>
      <c r="C505" s="17" t="n">
        <f aca="false">YEAR(B505)</f>
        <v>2025</v>
      </c>
      <c r="D505" s="17" t="n">
        <f aca="false">MONTH(B505)</f>
        <v>12</v>
      </c>
      <c r="E505" s="15" t="s">
        <v>48</v>
      </c>
      <c r="F505" s="15" t="s">
        <v>28</v>
      </c>
      <c r="G505" s="15" t="s">
        <v>35</v>
      </c>
      <c r="H505" s="15" t="s">
        <v>30</v>
      </c>
      <c r="I505" s="15" t="n">
        <v>2</v>
      </c>
      <c r="J505" s="18" t="n">
        <v>149</v>
      </c>
      <c r="K505" s="18" t="n">
        <v>60</v>
      </c>
      <c r="L505" s="19" t="n">
        <f aca="false">I505*J505</f>
        <v>298</v>
      </c>
      <c r="M505" s="19" t="n">
        <f aca="false">L505-I505*K505</f>
        <v>178</v>
      </c>
    </row>
    <row r="506" customFormat="false" ht="15" hidden="false" customHeight="false" outlineLevel="0" collapsed="false">
      <c r="A506" s="15" t="s">
        <v>548</v>
      </c>
      <c r="B506" s="16" t="n">
        <v>45935</v>
      </c>
      <c r="C506" s="17" t="n">
        <f aca="false">YEAR(B506)</f>
        <v>2025</v>
      </c>
      <c r="D506" s="17" t="n">
        <f aca="false">MONTH(B506)</f>
        <v>10</v>
      </c>
      <c r="E506" s="15" t="s">
        <v>33</v>
      </c>
      <c r="F506" s="15" t="s">
        <v>34</v>
      </c>
      <c r="G506" s="15" t="s">
        <v>39</v>
      </c>
      <c r="H506" s="15" t="s">
        <v>50</v>
      </c>
      <c r="I506" s="15" t="n">
        <v>2</v>
      </c>
      <c r="J506" s="18" t="n">
        <v>2799</v>
      </c>
      <c r="K506" s="18" t="n">
        <v>2100</v>
      </c>
      <c r="L506" s="19" t="n">
        <f aca="false">I506*J506</f>
        <v>5598</v>
      </c>
      <c r="M506" s="19" t="n">
        <f aca="false">L506-I506*K506</f>
        <v>1398</v>
      </c>
    </row>
    <row r="507" customFormat="false" ht="15" hidden="false" customHeight="false" outlineLevel="0" collapsed="false">
      <c r="A507" s="15" t="s">
        <v>549</v>
      </c>
      <c r="B507" s="16" t="n">
        <v>45516</v>
      </c>
      <c r="C507" s="17" t="n">
        <f aca="false">YEAR(B507)</f>
        <v>2024</v>
      </c>
      <c r="D507" s="17" t="n">
        <f aca="false">MONTH(B507)</f>
        <v>8</v>
      </c>
      <c r="E507" s="15" t="s">
        <v>48</v>
      </c>
      <c r="F507" s="15" t="s">
        <v>28</v>
      </c>
      <c r="G507" s="15" t="s">
        <v>29</v>
      </c>
      <c r="H507" s="15" t="s">
        <v>40</v>
      </c>
      <c r="I507" s="15" t="n">
        <v>1</v>
      </c>
      <c r="J507" s="18" t="n">
        <v>149</v>
      </c>
      <c r="K507" s="18" t="n">
        <v>60</v>
      </c>
      <c r="L507" s="19" t="n">
        <f aca="false">I507*J507</f>
        <v>149</v>
      </c>
      <c r="M507" s="19" t="n">
        <f aca="false">L507-I507*K507</f>
        <v>89</v>
      </c>
    </row>
    <row r="508" customFormat="false" ht="15" hidden="false" customHeight="false" outlineLevel="0" collapsed="false">
      <c r="A508" s="15" t="s">
        <v>550</v>
      </c>
      <c r="B508" s="16" t="n">
        <v>45733</v>
      </c>
      <c r="C508" s="17" t="n">
        <f aca="false">YEAR(B508)</f>
        <v>2025</v>
      </c>
      <c r="D508" s="17" t="n">
        <f aca="false">MONTH(B508)</f>
        <v>3</v>
      </c>
      <c r="E508" s="15" t="s">
        <v>33</v>
      </c>
      <c r="F508" s="15" t="s">
        <v>34</v>
      </c>
      <c r="G508" s="15" t="s">
        <v>39</v>
      </c>
      <c r="H508" s="15" t="s">
        <v>50</v>
      </c>
      <c r="I508" s="15" t="n">
        <v>2</v>
      </c>
      <c r="J508" s="18" t="n">
        <v>2799</v>
      </c>
      <c r="K508" s="18" t="n">
        <v>2100</v>
      </c>
      <c r="L508" s="19" t="n">
        <f aca="false">I508*J508</f>
        <v>5598</v>
      </c>
      <c r="M508" s="19" t="n">
        <f aca="false">L508-I508*K508</f>
        <v>1398</v>
      </c>
    </row>
    <row r="509" customFormat="false" ht="15" hidden="false" customHeight="false" outlineLevel="0" collapsed="false">
      <c r="A509" s="15" t="s">
        <v>551</v>
      </c>
      <c r="B509" s="16" t="n">
        <v>45857</v>
      </c>
      <c r="C509" s="17" t="n">
        <f aca="false">YEAR(B509)</f>
        <v>2025</v>
      </c>
      <c r="D509" s="17" t="n">
        <f aca="false">MONTH(B509)</f>
        <v>7</v>
      </c>
      <c r="E509" s="15" t="s">
        <v>37</v>
      </c>
      <c r="F509" s="15" t="s">
        <v>38</v>
      </c>
      <c r="G509" s="15" t="s">
        <v>29</v>
      </c>
      <c r="H509" s="15" t="s">
        <v>30</v>
      </c>
      <c r="I509" s="15" t="n">
        <v>2</v>
      </c>
      <c r="J509" s="18" t="n">
        <v>449</v>
      </c>
      <c r="K509" s="18" t="n">
        <v>260</v>
      </c>
      <c r="L509" s="19" t="n">
        <f aca="false">I509*J509</f>
        <v>898</v>
      </c>
      <c r="M509" s="19" t="n">
        <f aca="false">L509-I509*K509</f>
        <v>378</v>
      </c>
    </row>
    <row r="510" customFormat="false" ht="15" hidden="false" customHeight="false" outlineLevel="0" collapsed="false">
      <c r="A510" s="15" t="s">
        <v>552</v>
      </c>
      <c r="B510" s="16" t="n">
        <v>45801</v>
      </c>
      <c r="C510" s="17" t="n">
        <f aca="false">YEAR(B510)</f>
        <v>2025</v>
      </c>
      <c r="D510" s="17" t="n">
        <f aca="false">MONTH(B510)</f>
        <v>5</v>
      </c>
      <c r="E510" s="15" t="s">
        <v>48</v>
      </c>
      <c r="F510" s="15" t="s">
        <v>28</v>
      </c>
      <c r="G510" s="15" t="s">
        <v>35</v>
      </c>
      <c r="H510" s="15" t="s">
        <v>50</v>
      </c>
      <c r="I510" s="15" t="n">
        <v>3</v>
      </c>
      <c r="J510" s="18" t="n">
        <v>149</v>
      </c>
      <c r="K510" s="18" t="n">
        <v>60</v>
      </c>
      <c r="L510" s="19" t="n">
        <f aca="false">I510*J510</f>
        <v>447</v>
      </c>
      <c r="M510" s="19" t="n">
        <f aca="false">L510-I510*K510</f>
        <v>267</v>
      </c>
    </row>
    <row r="511" customFormat="false" ht="15" hidden="false" customHeight="false" outlineLevel="0" collapsed="false">
      <c r="A511" s="15" t="s">
        <v>553</v>
      </c>
      <c r="B511" s="16" t="n">
        <v>45881</v>
      </c>
      <c r="C511" s="17" t="n">
        <f aca="false">YEAR(B511)</f>
        <v>2025</v>
      </c>
      <c r="D511" s="17" t="n">
        <f aca="false">MONTH(B511)</f>
        <v>8</v>
      </c>
      <c r="E511" s="15" t="s">
        <v>37</v>
      </c>
      <c r="F511" s="15" t="s">
        <v>38</v>
      </c>
      <c r="G511" s="15" t="s">
        <v>39</v>
      </c>
      <c r="H511" s="15" t="s">
        <v>50</v>
      </c>
      <c r="I511" s="15" t="n">
        <v>1</v>
      </c>
      <c r="J511" s="18" t="n">
        <v>449</v>
      </c>
      <c r="K511" s="18" t="n">
        <v>260</v>
      </c>
      <c r="L511" s="19" t="n">
        <f aca="false">I511*J511</f>
        <v>449</v>
      </c>
      <c r="M511" s="19" t="n">
        <f aca="false">L511-I511*K511</f>
        <v>189</v>
      </c>
    </row>
    <row r="512" customFormat="false" ht="15" hidden="false" customHeight="false" outlineLevel="0" collapsed="false">
      <c r="A512" s="15" t="s">
        <v>554</v>
      </c>
      <c r="B512" s="16" t="n">
        <v>45963</v>
      </c>
      <c r="C512" s="17" t="n">
        <f aca="false">YEAR(B512)</f>
        <v>2025</v>
      </c>
      <c r="D512" s="17" t="n">
        <f aca="false">MONTH(B512)</f>
        <v>11</v>
      </c>
      <c r="E512" s="15" t="s">
        <v>37</v>
      </c>
      <c r="F512" s="15" t="s">
        <v>38</v>
      </c>
      <c r="G512" s="15" t="s">
        <v>35</v>
      </c>
      <c r="H512" s="15" t="s">
        <v>40</v>
      </c>
      <c r="I512" s="15" t="n">
        <v>1</v>
      </c>
      <c r="J512" s="18" t="n">
        <v>449</v>
      </c>
      <c r="K512" s="18" t="n">
        <v>260</v>
      </c>
      <c r="L512" s="19" t="n">
        <f aca="false">I512*J512</f>
        <v>449</v>
      </c>
      <c r="M512" s="19" t="n">
        <f aca="false">L512-I512*K512</f>
        <v>189</v>
      </c>
    </row>
    <row r="513" customFormat="false" ht="15" hidden="false" customHeight="false" outlineLevel="0" collapsed="false">
      <c r="A513" s="15" t="s">
        <v>555</v>
      </c>
      <c r="B513" s="16" t="n">
        <v>46004</v>
      </c>
      <c r="C513" s="17" t="n">
        <f aca="false">YEAR(B513)</f>
        <v>2025</v>
      </c>
      <c r="D513" s="17" t="n">
        <f aca="false">MONTH(B513)</f>
        <v>12</v>
      </c>
      <c r="E513" s="15" t="s">
        <v>62</v>
      </c>
      <c r="F513" s="15" t="s">
        <v>34</v>
      </c>
      <c r="G513" s="15" t="s">
        <v>29</v>
      </c>
      <c r="H513" s="15" t="s">
        <v>30</v>
      </c>
      <c r="I513" s="15" t="n">
        <v>1</v>
      </c>
      <c r="J513" s="18" t="n">
        <v>4499</v>
      </c>
      <c r="K513" s="18" t="n">
        <v>3400</v>
      </c>
      <c r="L513" s="19" t="n">
        <f aca="false">I513*J513</f>
        <v>4499</v>
      </c>
      <c r="M513" s="19" t="n">
        <f aca="false">L513-I513*K513</f>
        <v>1099</v>
      </c>
    </row>
    <row r="514" customFormat="false" ht="15" hidden="false" customHeight="false" outlineLevel="0" collapsed="false">
      <c r="A514" s="15" t="s">
        <v>556</v>
      </c>
      <c r="B514" s="16" t="n">
        <v>45618</v>
      </c>
      <c r="C514" s="17" t="n">
        <f aca="false">YEAR(B514)</f>
        <v>2024</v>
      </c>
      <c r="D514" s="17" t="n">
        <f aca="false">MONTH(B514)</f>
        <v>11</v>
      </c>
      <c r="E514" s="15" t="s">
        <v>33</v>
      </c>
      <c r="F514" s="15" t="s">
        <v>34</v>
      </c>
      <c r="G514" s="15" t="s">
        <v>29</v>
      </c>
      <c r="H514" s="15" t="s">
        <v>30</v>
      </c>
      <c r="I514" s="15" t="n">
        <v>2</v>
      </c>
      <c r="J514" s="18" t="n">
        <v>2799</v>
      </c>
      <c r="K514" s="18" t="n">
        <v>2100</v>
      </c>
      <c r="L514" s="19" t="n">
        <f aca="false">I514*J514</f>
        <v>5598</v>
      </c>
      <c r="M514" s="19" t="n">
        <f aca="false">L514-I514*K514</f>
        <v>1398</v>
      </c>
    </row>
    <row r="515" customFormat="false" ht="15" hidden="false" customHeight="false" outlineLevel="0" collapsed="false">
      <c r="A515" s="15" t="s">
        <v>557</v>
      </c>
      <c r="B515" s="16" t="n">
        <v>46003</v>
      </c>
      <c r="C515" s="17" t="n">
        <f aca="false">YEAR(B515)</f>
        <v>2025</v>
      </c>
      <c r="D515" s="17" t="n">
        <f aca="false">MONTH(B515)</f>
        <v>12</v>
      </c>
      <c r="E515" s="15" t="s">
        <v>48</v>
      </c>
      <c r="F515" s="15" t="s">
        <v>28</v>
      </c>
      <c r="G515" s="15" t="s">
        <v>55</v>
      </c>
      <c r="H515" s="15" t="s">
        <v>30</v>
      </c>
      <c r="I515" s="15" t="n">
        <v>2</v>
      </c>
      <c r="J515" s="18" t="n">
        <v>149</v>
      </c>
      <c r="K515" s="18" t="n">
        <v>60</v>
      </c>
      <c r="L515" s="19" t="n">
        <f aca="false">I515*J515</f>
        <v>298</v>
      </c>
      <c r="M515" s="19" t="n">
        <f aca="false">L515-I515*K515</f>
        <v>178</v>
      </c>
    </row>
    <row r="516" customFormat="false" ht="15" hidden="false" customHeight="false" outlineLevel="0" collapsed="false">
      <c r="A516" s="15" t="s">
        <v>558</v>
      </c>
      <c r="B516" s="16" t="n">
        <v>45726</v>
      </c>
      <c r="C516" s="17" t="n">
        <f aca="false">YEAR(B516)</f>
        <v>2025</v>
      </c>
      <c r="D516" s="17" t="n">
        <f aca="false">MONTH(B516)</f>
        <v>3</v>
      </c>
      <c r="E516" s="15" t="s">
        <v>37</v>
      </c>
      <c r="F516" s="15" t="s">
        <v>38</v>
      </c>
      <c r="G516" s="15" t="s">
        <v>29</v>
      </c>
      <c r="H516" s="15" t="s">
        <v>50</v>
      </c>
      <c r="I516" s="15" t="n">
        <v>3</v>
      </c>
      <c r="J516" s="18" t="n">
        <v>449</v>
      </c>
      <c r="K516" s="18" t="n">
        <v>260</v>
      </c>
      <c r="L516" s="19" t="n">
        <f aca="false">I516*J516</f>
        <v>1347</v>
      </c>
      <c r="M516" s="19" t="n">
        <f aca="false">L516-I516*K516</f>
        <v>567</v>
      </c>
    </row>
    <row r="517" customFormat="false" ht="15" hidden="false" customHeight="false" outlineLevel="0" collapsed="false">
      <c r="A517" s="15" t="s">
        <v>559</v>
      </c>
      <c r="B517" s="16" t="n">
        <v>45935</v>
      </c>
      <c r="C517" s="17" t="n">
        <f aca="false">YEAR(B517)</f>
        <v>2025</v>
      </c>
      <c r="D517" s="17" t="n">
        <f aca="false">MONTH(B517)</f>
        <v>10</v>
      </c>
      <c r="E517" s="15" t="s">
        <v>48</v>
      </c>
      <c r="F517" s="15" t="s">
        <v>28</v>
      </c>
      <c r="G517" s="15" t="s">
        <v>29</v>
      </c>
      <c r="H517" s="15" t="s">
        <v>30</v>
      </c>
      <c r="I517" s="15" t="n">
        <v>1</v>
      </c>
      <c r="J517" s="18" t="n">
        <v>149</v>
      </c>
      <c r="K517" s="18" t="n">
        <v>60</v>
      </c>
      <c r="L517" s="19" t="n">
        <f aca="false">I517*J517</f>
        <v>149</v>
      </c>
      <c r="M517" s="19" t="n">
        <f aca="false">L517-I517*K517</f>
        <v>89</v>
      </c>
    </row>
    <row r="518" customFormat="false" ht="15" hidden="false" customHeight="false" outlineLevel="0" collapsed="false">
      <c r="A518" s="15" t="s">
        <v>560</v>
      </c>
      <c r="B518" s="16" t="n">
        <v>45981</v>
      </c>
      <c r="C518" s="17" t="n">
        <f aca="false">YEAR(B518)</f>
        <v>2025</v>
      </c>
      <c r="D518" s="17" t="n">
        <f aca="false">MONTH(B518)</f>
        <v>11</v>
      </c>
      <c r="E518" s="15" t="s">
        <v>57</v>
      </c>
      <c r="F518" s="15" t="s">
        <v>38</v>
      </c>
      <c r="G518" s="15" t="s">
        <v>29</v>
      </c>
      <c r="H518" s="15" t="s">
        <v>30</v>
      </c>
      <c r="I518" s="15" t="n">
        <v>2</v>
      </c>
      <c r="J518" s="18" t="n">
        <v>699</v>
      </c>
      <c r="K518" s="18" t="n">
        <v>420</v>
      </c>
      <c r="L518" s="19" t="n">
        <f aca="false">I518*J518</f>
        <v>1398</v>
      </c>
      <c r="M518" s="19" t="n">
        <f aca="false">L518-I518*K518</f>
        <v>558</v>
      </c>
    </row>
    <row r="519" customFormat="false" ht="15" hidden="false" customHeight="false" outlineLevel="0" collapsed="false">
      <c r="A519" s="15" t="s">
        <v>561</v>
      </c>
      <c r="B519" s="16" t="n">
        <v>46011</v>
      </c>
      <c r="C519" s="17" t="n">
        <f aca="false">YEAR(B519)</f>
        <v>2025</v>
      </c>
      <c r="D519" s="17" t="n">
        <f aca="false">MONTH(B519)</f>
        <v>12</v>
      </c>
      <c r="E519" s="15" t="s">
        <v>27</v>
      </c>
      <c r="F519" s="15" t="s">
        <v>28</v>
      </c>
      <c r="G519" s="15" t="s">
        <v>39</v>
      </c>
      <c r="H519" s="15" t="s">
        <v>30</v>
      </c>
      <c r="I519" s="15" t="n">
        <v>3</v>
      </c>
      <c r="J519" s="18" t="n">
        <v>100</v>
      </c>
      <c r="K519" s="18" t="n">
        <v>88</v>
      </c>
      <c r="L519" s="19" t="n">
        <f aca="false">I519*J519</f>
        <v>300</v>
      </c>
      <c r="M519" s="19" t="n">
        <f aca="false">L519-I519*K519</f>
        <v>36</v>
      </c>
    </row>
    <row r="520" customFormat="false" ht="15" hidden="false" customHeight="false" outlineLevel="0" collapsed="false">
      <c r="A520" s="15" t="s">
        <v>562</v>
      </c>
      <c r="B520" s="16" t="n">
        <v>45944</v>
      </c>
      <c r="C520" s="17" t="n">
        <f aca="false">YEAR(B520)</f>
        <v>2025</v>
      </c>
      <c r="D520" s="17" t="n">
        <f aca="false">MONTH(B520)</f>
        <v>10</v>
      </c>
      <c r="E520" s="15" t="s">
        <v>37</v>
      </c>
      <c r="F520" s="15" t="s">
        <v>38</v>
      </c>
      <c r="G520" s="15" t="s">
        <v>39</v>
      </c>
      <c r="H520" s="15" t="s">
        <v>30</v>
      </c>
      <c r="I520" s="15" t="n">
        <v>3</v>
      </c>
      <c r="J520" s="18" t="n">
        <v>449</v>
      </c>
      <c r="K520" s="18" t="n">
        <v>260</v>
      </c>
      <c r="L520" s="19" t="n">
        <f aca="false">I520*J520</f>
        <v>1347</v>
      </c>
      <c r="M520" s="19" t="n">
        <f aca="false">L520-I520*K520</f>
        <v>567</v>
      </c>
    </row>
    <row r="521" customFormat="false" ht="15" hidden="false" customHeight="false" outlineLevel="0" collapsed="false">
      <c r="A521" s="15" t="s">
        <v>563</v>
      </c>
      <c r="B521" s="16" t="n">
        <v>45658</v>
      </c>
      <c r="C521" s="17" t="n">
        <f aca="false">YEAR(B521)</f>
        <v>2025</v>
      </c>
      <c r="D521" s="17" t="n">
        <f aca="false">MONTH(B521)</f>
        <v>1</v>
      </c>
      <c r="E521" s="15" t="s">
        <v>37</v>
      </c>
      <c r="F521" s="15" t="s">
        <v>38</v>
      </c>
      <c r="G521" s="15" t="s">
        <v>39</v>
      </c>
      <c r="H521" s="15" t="s">
        <v>30</v>
      </c>
      <c r="I521" s="15" t="n">
        <v>1</v>
      </c>
      <c r="J521" s="18" t="n">
        <v>449</v>
      </c>
      <c r="K521" s="18" t="n">
        <v>260</v>
      </c>
      <c r="L521" s="19" t="n">
        <f aca="false">I521*J521</f>
        <v>449</v>
      </c>
      <c r="M521" s="19" t="n">
        <f aca="false">L521-I521*K521</f>
        <v>189</v>
      </c>
    </row>
    <row r="522" customFormat="false" ht="15" hidden="false" customHeight="false" outlineLevel="0" collapsed="false">
      <c r="A522" s="15" t="s">
        <v>564</v>
      </c>
      <c r="B522" s="16" t="n">
        <v>45431</v>
      </c>
      <c r="C522" s="17" t="n">
        <f aca="false">YEAR(B522)</f>
        <v>2024</v>
      </c>
      <c r="D522" s="17" t="n">
        <f aca="false">MONTH(B522)</f>
        <v>5</v>
      </c>
      <c r="E522" s="15" t="s">
        <v>48</v>
      </c>
      <c r="F522" s="15" t="s">
        <v>28</v>
      </c>
      <c r="G522" s="15" t="s">
        <v>29</v>
      </c>
      <c r="H522" s="15" t="s">
        <v>30</v>
      </c>
      <c r="I522" s="15" t="n">
        <v>4</v>
      </c>
      <c r="J522" s="18" t="n">
        <v>149</v>
      </c>
      <c r="K522" s="18" t="n">
        <v>60</v>
      </c>
      <c r="L522" s="19" t="n">
        <f aca="false">I522*J522</f>
        <v>596</v>
      </c>
      <c r="M522" s="19" t="n">
        <f aca="false">L522-I522*K522</f>
        <v>356</v>
      </c>
    </row>
    <row r="523" customFormat="false" ht="15" hidden="false" customHeight="false" outlineLevel="0" collapsed="false">
      <c r="A523" s="15" t="s">
        <v>565</v>
      </c>
      <c r="B523" s="16" t="n">
        <v>45539</v>
      </c>
      <c r="C523" s="17" t="n">
        <f aca="false">YEAR(B523)</f>
        <v>2024</v>
      </c>
      <c r="D523" s="17" t="n">
        <f aca="false">MONTH(B523)</f>
        <v>9</v>
      </c>
      <c r="E523" s="15" t="s">
        <v>62</v>
      </c>
      <c r="F523" s="15" t="s">
        <v>34</v>
      </c>
      <c r="G523" s="15" t="s">
        <v>39</v>
      </c>
      <c r="H523" s="15" t="s">
        <v>40</v>
      </c>
      <c r="I523" s="15" t="n">
        <v>2</v>
      </c>
      <c r="J523" s="18" t="n">
        <v>4499</v>
      </c>
      <c r="K523" s="18" t="n">
        <v>3400</v>
      </c>
      <c r="L523" s="19" t="n">
        <f aca="false">I523*J523</f>
        <v>8998</v>
      </c>
      <c r="M523" s="19" t="n">
        <f aca="false">L523-I523*K523</f>
        <v>2198</v>
      </c>
    </row>
    <row r="524" customFormat="false" ht="15" hidden="false" customHeight="false" outlineLevel="0" collapsed="false">
      <c r="A524" s="15" t="s">
        <v>566</v>
      </c>
      <c r="B524" s="16" t="n">
        <v>46006</v>
      </c>
      <c r="C524" s="17" t="n">
        <f aca="false">YEAR(B524)</f>
        <v>2025</v>
      </c>
      <c r="D524" s="17" t="n">
        <f aca="false">MONTH(B524)</f>
        <v>12</v>
      </c>
      <c r="E524" s="15" t="s">
        <v>37</v>
      </c>
      <c r="F524" s="15" t="s">
        <v>38</v>
      </c>
      <c r="G524" s="15" t="s">
        <v>29</v>
      </c>
      <c r="H524" s="15" t="s">
        <v>30</v>
      </c>
      <c r="I524" s="15" t="n">
        <v>2</v>
      </c>
      <c r="J524" s="18" t="n">
        <v>449</v>
      </c>
      <c r="K524" s="18" t="n">
        <v>260</v>
      </c>
      <c r="L524" s="19" t="n">
        <f aca="false">I524*J524</f>
        <v>898</v>
      </c>
      <c r="M524" s="19" t="n">
        <f aca="false">L524-I524*K524</f>
        <v>378</v>
      </c>
    </row>
    <row r="525" customFormat="false" ht="15" hidden="false" customHeight="false" outlineLevel="0" collapsed="false">
      <c r="A525" s="15" t="s">
        <v>567</v>
      </c>
      <c r="B525" s="16" t="n">
        <v>45936</v>
      </c>
      <c r="C525" s="17" t="n">
        <f aca="false">YEAR(B525)</f>
        <v>2025</v>
      </c>
      <c r="D525" s="17" t="n">
        <f aca="false">MONTH(B525)</f>
        <v>10</v>
      </c>
      <c r="E525" s="15" t="s">
        <v>48</v>
      </c>
      <c r="F525" s="15" t="s">
        <v>28</v>
      </c>
      <c r="G525" s="15" t="s">
        <v>29</v>
      </c>
      <c r="H525" s="15" t="s">
        <v>30</v>
      </c>
      <c r="I525" s="15" t="n">
        <v>4</v>
      </c>
      <c r="J525" s="18" t="n">
        <v>149</v>
      </c>
      <c r="K525" s="18" t="n">
        <v>60</v>
      </c>
      <c r="L525" s="19" t="n">
        <f aca="false">I525*J525</f>
        <v>596</v>
      </c>
      <c r="M525" s="19" t="n">
        <f aca="false">L525-I525*K525</f>
        <v>356</v>
      </c>
    </row>
    <row r="526" customFormat="false" ht="15" hidden="false" customHeight="false" outlineLevel="0" collapsed="false">
      <c r="A526" s="15" t="s">
        <v>568</v>
      </c>
      <c r="B526" s="16" t="n">
        <v>45974</v>
      </c>
      <c r="C526" s="17" t="n">
        <f aca="false">YEAR(B526)</f>
        <v>2025</v>
      </c>
      <c r="D526" s="17" t="n">
        <f aca="false">MONTH(B526)</f>
        <v>11</v>
      </c>
      <c r="E526" s="15" t="s">
        <v>33</v>
      </c>
      <c r="F526" s="15" t="s">
        <v>34</v>
      </c>
      <c r="G526" s="15" t="s">
        <v>35</v>
      </c>
      <c r="H526" s="15" t="s">
        <v>30</v>
      </c>
      <c r="I526" s="15" t="n">
        <v>2</v>
      </c>
      <c r="J526" s="18" t="n">
        <v>2799</v>
      </c>
      <c r="K526" s="18" t="n">
        <v>2100</v>
      </c>
      <c r="L526" s="19" t="n">
        <f aca="false">I526*J526</f>
        <v>5598</v>
      </c>
      <c r="M526" s="19" t="n">
        <f aca="false">L526-I526*K526</f>
        <v>1398</v>
      </c>
    </row>
    <row r="527" customFormat="false" ht="15" hidden="false" customHeight="false" outlineLevel="0" collapsed="false">
      <c r="A527" s="15" t="s">
        <v>569</v>
      </c>
      <c r="B527" s="16" t="n">
        <v>45503</v>
      </c>
      <c r="C527" s="17" t="n">
        <f aca="false">YEAR(B527)</f>
        <v>2024</v>
      </c>
      <c r="D527" s="17" t="n">
        <f aca="false">MONTH(B527)</f>
        <v>7</v>
      </c>
      <c r="E527" s="15" t="s">
        <v>33</v>
      </c>
      <c r="F527" s="15" t="s">
        <v>34</v>
      </c>
      <c r="G527" s="15" t="s">
        <v>43</v>
      </c>
      <c r="H527" s="15" t="s">
        <v>40</v>
      </c>
      <c r="I527" s="15" t="n">
        <v>2</v>
      </c>
      <c r="J527" s="18" t="n">
        <v>2799</v>
      </c>
      <c r="K527" s="18" t="n">
        <v>2100</v>
      </c>
      <c r="L527" s="19" t="n">
        <f aca="false">I527*J527</f>
        <v>5598</v>
      </c>
      <c r="M527" s="19" t="n">
        <f aca="false">L527-I527*K527</f>
        <v>1398</v>
      </c>
    </row>
    <row r="528" customFormat="false" ht="15" hidden="false" customHeight="false" outlineLevel="0" collapsed="false">
      <c r="A528" s="15" t="s">
        <v>570</v>
      </c>
      <c r="B528" s="16" t="n">
        <v>45336</v>
      </c>
      <c r="C528" s="17" t="n">
        <f aca="false">YEAR(B528)</f>
        <v>2024</v>
      </c>
      <c r="D528" s="17" t="n">
        <f aca="false">MONTH(B528)</f>
        <v>2</v>
      </c>
      <c r="E528" s="15" t="s">
        <v>62</v>
      </c>
      <c r="F528" s="15" t="s">
        <v>34</v>
      </c>
      <c r="G528" s="15" t="s">
        <v>55</v>
      </c>
      <c r="H528" s="15" t="s">
        <v>30</v>
      </c>
      <c r="I528" s="15" t="n">
        <v>2</v>
      </c>
      <c r="J528" s="18" t="n">
        <v>4499</v>
      </c>
      <c r="K528" s="18" t="n">
        <v>3400</v>
      </c>
      <c r="L528" s="19" t="n">
        <f aca="false">I528*J528</f>
        <v>8998</v>
      </c>
      <c r="M528" s="19" t="n">
        <f aca="false">L528-I528*K528</f>
        <v>2198</v>
      </c>
    </row>
    <row r="529" customFormat="false" ht="15" hidden="false" customHeight="false" outlineLevel="0" collapsed="false">
      <c r="A529" s="15" t="s">
        <v>571</v>
      </c>
      <c r="B529" s="16" t="n">
        <v>45608</v>
      </c>
      <c r="C529" s="17" t="n">
        <f aca="false">YEAR(B529)</f>
        <v>2024</v>
      </c>
      <c r="D529" s="17" t="n">
        <f aca="false">MONTH(B529)</f>
        <v>11</v>
      </c>
      <c r="E529" s="15" t="s">
        <v>37</v>
      </c>
      <c r="F529" s="15" t="s">
        <v>38</v>
      </c>
      <c r="G529" s="15" t="s">
        <v>39</v>
      </c>
      <c r="H529" s="15" t="s">
        <v>40</v>
      </c>
      <c r="I529" s="15" t="n">
        <v>1</v>
      </c>
      <c r="J529" s="18" t="n">
        <v>449</v>
      </c>
      <c r="K529" s="18" t="n">
        <v>260</v>
      </c>
      <c r="L529" s="19" t="n">
        <f aca="false">I529*J529</f>
        <v>449</v>
      </c>
      <c r="M529" s="19" t="n">
        <f aca="false">L529-I529*K529</f>
        <v>189</v>
      </c>
    </row>
    <row r="530" customFormat="false" ht="15" hidden="false" customHeight="false" outlineLevel="0" collapsed="false">
      <c r="A530" s="15" t="s">
        <v>572</v>
      </c>
      <c r="B530" s="16" t="n">
        <v>45874</v>
      </c>
      <c r="C530" s="17" t="n">
        <f aca="false">YEAR(B530)</f>
        <v>2025</v>
      </c>
      <c r="D530" s="17" t="n">
        <f aca="false">MONTH(B530)</f>
        <v>8</v>
      </c>
      <c r="E530" s="15" t="s">
        <v>37</v>
      </c>
      <c r="F530" s="15" t="s">
        <v>38</v>
      </c>
      <c r="G530" s="15" t="s">
        <v>29</v>
      </c>
      <c r="H530" s="15" t="s">
        <v>30</v>
      </c>
      <c r="I530" s="15" t="n">
        <v>2</v>
      </c>
      <c r="J530" s="18" t="n">
        <v>449</v>
      </c>
      <c r="K530" s="18" t="n">
        <v>260</v>
      </c>
      <c r="L530" s="19" t="n">
        <f aca="false">I530*J530</f>
        <v>898</v>
      </c>
      <c r="M530" s="19" t="n">
        <f aca="false">L530-I530*K530</f>
        <v>378</v>
      </c>
    </row>
    <row r="531" customFormat="false" ht="15" hidden="false" customHeight="false" outlineLevel="0" collapsed="false">
      <c r="A531" s="15" t="s">
        <v>573</v>
      </c>
      <c r="B531" s="16" t="n">
        <v>45771</v>
      </c>
      <c r="C531" s="17" t="n">
        <f aca="false">YEAR(B531)</f>
        <v>2025</v>
      </c>
      <c r="D531" s="17" t="n">
        <f aca="false">MONTH(B531)</f>
        <v>4</v>
      </c>
      <c r="E531" s="15" t="s">
        <v>27</v>
      </c>
      <c r="F531" s="15" t="s">
        <v>28</v>
      </c>
      <c r="G531" s="15" t="s">
        <v>39</v>
      </c>
      <c r="H531" s="15" t="s">
        <v>50</v>
      </c>
      <c r="I531" s="15" t="n">
        <v>4</v>
      </c>
      <c r="J531" s="18" t="n">
        <v>100</v>
      </c>
      <c r="K531" s="18" t="n">
        <v>88</v>
      </c>
      <c r="L531" s="19" t="n">
        <f aca="false">I531*J531</f>
        <v>400</v>
      </c>
      <c r="M531" s="19" t="n">
        <f aca="false">L531-I531*K531</f>
        <v>48</v>
      </c>
    </row>
    <row r="532" customFormat="false" ht="15" hidden="false" customHeight="false" outlineLevel="0" collapsed="false">
      <c r="A532" s="15" t="s">
        <v>574</v>
      </c>
      <c r="B532" s="16" t="n">
        <v>45869</v>
      </c>
      <c r="C532" s="17" t="n">
        <f aca="false">YEAR(B532)</f>
        <v>2025</v>
      </c>
      <c r="D532" s="17" t="n">
        <f aca="false">MONTH(B532)</f>
        <v>7</v>
      </c>
      <c r="E532" s="15" t="s">
        <v>37</v>
      </c>
      <c r="F532" s="15" t="s">
        <v>38</v>
      </c>
      <c r="G532" s="15" t="s">
        <v>35</v>
      </c>
      <c r="H532" s="15" t="s">
        <v>40</v>
      </c>
      <c r="I532" s="15" t="n">
        <v>4</v>
      </c>
      <c r="J532" s="18" t="n">
        <v>449</v>
      </c>
      <c r="K532" s="18" t="n">
        <v>260</v>
      </c>
      <c r="L532" s="19" t="n">
        <f aca="false">I532*J532</f>
        <v>1796</v>
      </c>
      <c r="M532" s="19" t="n">
        <f aca="false">L532-I532*K532</f>
        <v>756</v>
      </c>
    </row>
    <row r="533" customFormat="false" ht="15" hidden="false" customHeight="false" outlineLevel="0" collapsed="false">
      <c r="A533" s="15" t="s">
        <v>575</v>
      </c>
      <c r="B533" s="16" t="n">
        <v>45848</v>
      </c>
      <c r="C533" s="17" t="n">
        <f aca="false">YEAR(B533)</f>
        <v>2025</v>
      </c>
      <c r="D533" s="17" t="n">
        <f aca="false">MONTH(B533)</f>
        <v>7</v>
      </c>
      <c r="E533" s="15" t="s">
        <v>37</v>
      </c>
      <c r="F533" s="15" t="s">
        <v>38</v>
      </c>
      <c r="G533" s="15" t="s">
        <v>35</v>
      </c>
      <c r="H533" s="15" t="s">
        <v>40</v>
      </c>
      <c r="I533" s="15" t="n">
        <v>3</v>
      </c>
      <c r="J533" s="18" t="n">
        <v>449</v>
      </c>
      <c r="K533" s="18" t="n">
        <v>260</v>
      </c>
      <c r="L533" s="19" t="n">
        <f aca="false">I533*J533</f>
        <v>1347</v>
      </c>
      <c r="M533" s="19" t="n">
        <f aca="false">L533-I533*K533</f>
        <v>567</v>
      </c>
    </row>
    <row r="534" customFormat="false" ht="15" hidden="false" customHeight="false" outlineLevel="0" collapsed="false">
      <c r="A534" s="15" t="s">
        <v>576</v>
      </c>
      <c r="B534" s="16" t="n">
        <v>45934</v>
      </c>
      <c r="C534" s="17" t="n">
        <f aca="false">YEAR(B534)</f>
        <v>2025</v>
      </c>
      <c r="D534" s="17" t="n">
        <f aca="false">MONTH(B534)</f>
        <v>10</v>
      </c>
      <c r="E534" s="15" t="s">
        <v>48</v>
      </c>
      <c r="F534" s="15" t="s">
        <v>28</v>
      </c>
      <c r="G534" s="15" t="s">
        <v>29</v>
      </c>
      <c r="H534" s="15" t="s">
        <v>30</v>
      </c>
      <c r="I534" s="15" t="n">
        <v>3</v>
      </c>
      <c r="J534" s="18" t="n">
        <v>149</v>
      </c>
      <c r="K534" s="18" t="n">
        <v>60</v>
      </c>
      <c r="L534" s="19" t="n">
        <f aca="false">I534*J534</f>
        <v>447</v>
      </c>
      <c r="M534" s="19" t="n">
        <f aca="false">L534-I534*K534</f>
        <v>267</v>
      </c>
    </row>
    <row r="535" customFormat="false" ht="15" hidden="false" customHeight="false" outlineLevel="0" collapsed="false">
      <c r="A535" s="15" t="s">
        <v>577</v>
      </c>
      <c r="B535" s="16" t="n">
        <v>45320</v>
      </c>
      <c r="C535" s="17" t="n">
        <f aca="false">YEAR(B535)</f>
        <v>2024</v>
      </c>
      <c r="D535" s="17" t="n">
        <f aca="false">MONTH(B535)</f>
        <v>1</v>
      </c>
      <c r="E535" s="15" t="s">
        <v>62</v>
      </c>
      <c r="F535" s="15" t="s">
        <v>34</v>
      </c>
      <c r="G535" s="15" t="s">
        <v>35</v>
      </c>
      <c r="H535" s="15" t="s">
        <v>30</v>
      </c>
      <c r="I535" s="15" t="n">
        <v>2</v>
      </c>
      <c r="J535" s="18" t="n">
        <v>4499</v>
      </c>
      <c r="K535" s="18" t="n">
        <v>3400</v>
      </c>
      <c r="L535" s="19" t="n">
        <f aca="false">I535*J535</f>
        <v>8998</v>
      </c>
      <c r="M535" s="19" t="n">
        <f aca="false">L535-I535*K535</f>
        <v>2198</v>
      </c>
    </row>
    <row r="536" customFormat="false" ht="15" hidden="false" customHeight="false" outlineLevel="0" collapsed="false">
      <c r="A536" s="15" t="s">
        <v>578</v>
      </c>
      <c r="B536" s="16" t="n">
        <v>45482</v>
      </c>
      <c r="C536" s="17" t="n">
        <f aca="false">YEAR(B536)</f>
        <v>2024</v>
      </c>
      <c r="D536" s="17" t="n">
        <f aca="false">MONTH(B536)</f>
        <v>7</v>
      </c>
      <c r="E536" s="15" t="s">
        <v>27</v>
      </c>
      <c r="F536" s="15" t="s">
        <v>28</v>
      </c>
      <c r="G536" s="15" t="s">
        <v>39</v>
      </c>
      <c r="H536" s="15" t="s">
        <v>50</v>
      </c>
      <c r="I536" s="15" t="n">
        <v>2</v>
      </c>
      <c r="J536" s="18" t="n">
        <v>100</v>
      </c>
      <c r="K536" s="18" t="n">
        <v>88</v>
      </c>
      <c r="L536" s="19" t="n">
        <f aca="false">I536*J536</f>
        <v>200</v>
      </c>
      <c r="M536" s="19" t="n">
        <f aca="false">L536-I536*K536</f>
        <v>24</v>
      </c>
    </row>
    <row r="537" customFormat="false" ht="15" hidden="false" customHeight="false" outlineLevel="0" collapsed="false">
      <c r="A537" s="15" t="s">
        <v>579</v>
      </c>
      <c r="B537" s="16" t="n">
        <v>45609</v>
      </c>
      <c r="C537" s="17" t="n">
        <f aca="false">YEAR(B537)</f>
        <v>2024</v>
      </c>
      <c r="D537" s="17" t="n">
        <f aca="false">MONTH(B537)</f>
        <v>11</v>
      </c>
      <c r="E537" s="15" t="s">
        <v>48</v>
      </c>
      <c r="F537" s="15" t="s">
        <v>28</v>
      </c>
      <c r="G537" s="15" t="s">
        <v>55</v>
      </c>
      <c r="H537" s="15" t="s">
        <v>40</v>
      </c>
      <c r="I537" s="15" t="n">
        <v>3</v>
      </c>
      <c r="J537" s="18" t="n">
        <v>149</v>
      </c>
      <c r="K537" s="18" t="n">
        <v>60</v>
      </c>
      <c r="L537" s="19" t="n">
        <f aca="false">I537*J537</f>
        <v>447</v>
      </c>
      <c r="M537" s="19" t="n">
        <f aca="false">L537-I537*K537</f>
        <v>267</v>
      </c>
    </row>
    <row r="538" customFormat="false" ht="15" hidden="false" customHeight="false" outlineLevel="0" collapsed="false">
      <c r="A538" s="15" t="s">
        <v>580</v>
      </c>
      <c r="B538" s="16" t="n">
        <v>45656</v>
      </c>
      <c r="C538" s="17" t="n">
        <f aca="false">YEAR(B538)</f>
        <v>2024</v>
      </c>
      <c r="D538" s="17" t="n">
        <f aca="false">MONTH(B538)</f>
        <v>12</v>
      </c>
      <c r="E538" s="15" t="s">
        <v>37</v>
      </c>
      <c r="F538" s="15" t="s">
        <v>38</v>
      </c>
      <c r="G538" s="15" t="s">
        <v>39</v>
      </c>
      <c r="H538" s="15" t="s">
        <v>50</v>
      </c>
      <c r="I538" s="15" t="n">
        <v>3</v>
      </c>
      <c r="J538" s="18" t="n">
        <v>449</v>
      </c>
      <c r="K538" s="18" t="n">
        <v>260</v>
      </c>
      <c r="L538" s="19" t="n">
        <f aca="false">I538*J538</f>
        <v>1347</v>
      </c>
      <c r="M538" s="19" t="n">
        <f aca="false">L538-I538*K538</f>
        <v>567</v>
      </c>
    </row>
    <row r="539" customFormat="false" ht="15" hidden="false" customHeight="false" outlineLevel="0" collapsed="false">
      <c r="A539" s="15" t="s">
        <v>581</v>
      </c>
      <c r="B539" s="16" t="n">
        <v>45551</v>
      </c>
      <c r="C539" s="17" t="n">
        <f aca="false">YEAR(B539)</f>
        <v>2024</v>
      </c>
      <c r="D539" s="17" t="n">
        <f aca="false">MONTH(B539)</f>
        <v>9</v>
      </c>
      <c r="E539" s="15" t="s">
        <v>37</v>
      </c>
      <c r="F539" s="15" t="s">
        <v>38</v>
      </c>
      <c r="G539" s="15" t="s">
        <v>39</v>
      </c>
      <c r="H539" s="15" t="s">
        <v>50</v>
      </c>
      <c r="I539" s="15" t="n">
        <v>1</v>
      </c>
      <c r="J539" s="18" t="n">
        <v>449</v>
      </c>
      <c r="K539" s="18" t="n">
        <v>260</v>
      </c>
      <c r="L539" s="19" t="n">
        <f aca="false">I539*J539</f>
        <v>449</v>
      </c>
      <c r="M539" s="19" t="n">
        <f aca="false">L539-I539*K539</f>
        <v>189</v>
      </c>
    </row>
    <row r="540" customFormat="false" ht="15" hidden="false" customHeight="false" outlineLevel="0" collapsed="false">
      <c r="A540" s="15" t="s">
        <v>582</v>
      </c>
      <c r="B540" s="16" t="n">
        <v>46014</v>
      </c>
      <c r="C540" s="17" t="n">
        <f aca="false">YEAR(B540)</f>
        <v>2025</v>
      </c>
      <c r="D540" s="17" t="n">
        <f aca="false">MONTH(B540)</f>
        <v>12</v>
      </c>
      <c r="E540" s="15" t="s">
        <v>37</v>
      </c>
      <c r="F540" s="15" t="s">
        <v>38</v>
      </c>
      <c r="G540" s="15" t="s">
        <v>35</v>
      </c>
      <c r="H540" s="15" t="s">
        <v>40</v>
      </c>
      <c r="I540" s="15" t="n">
        <v>1</v>
      </c>
      <c r="J540" s="18" t="n">
        <v>449</v>
      </c>
      <c r="K540" s="18" t="n">
        <v>260</v>
      </c>
      <c r="L540" s="19" t="n">
        <f aca="false">I540*J540</f>
        <v>449</v>
      </c>
      <c r="M540" s="19" t="n">
        <f aca="false">L540-I540*K540</f>
        <v>189</v>
      </c>
    </row>
    <row r="541" customFormat="false" ht="15" hidden="false" customHeight="false" outlineLevel="0" collapsed="false">
      <c r="A541" s="15" t="s">
        <v>583</v>
      </c>
      <c r="B541" s="16" t="n">
        <v>45803</v>
      </c>
      <c r="C541" s="17" t="n">
        <f aca="false">YEAR(B541)</f>
        <v>2025</v>
      </c>
      <c r="D541" s="17" t="n">
        <f aca="false">MONTH(B541)</f>
        <v>5</v>
      </c>
      <c r="E541" s="15" t="s">
        <v>48</v>
      </c>
      <c r="F541" s="15" t="s">
        <v>28</v>
      </c>
      <c r="G541" s="15" t="s">
        <v>29</v>
      </c>
      <c r="H541" s="15" t="s">
        <v>40</v>
      </c>
      <c r="I541" s="15" t="n">
        <v>3</v>
      </c>
      <c r="J541" s="18" t="n">
        <v>149</v>
      </c>
      <c r="K541" s="18" t="n">
        <v>60</v>
      </c>
      <c r="L541" s="19" t="n">
        <f aca="false">I541*J541</f>
        <v>447</v>
      </c>
      <c r="M541" s="19" t="n">
        <f aca="false">L541-I541*K541</f>
        <v>267</v>
      </c>
    </row>
    <row r="542" customFormat="false" ht="15" hidden="false" customHeight="false" outlineLevel="0" collapsed="false">
      <c r="A542" s="15" t="s">
        <v>584</v>
      </c>
      <c r="B542" s="16" t="n">
        <v>45437</v>
      </c>
      <c r="C542" s="17" t="n">
        <f aca="false">YEAR(B542)</f>
        <v>2024</v>
      </c>
      <c r="D542" s="17" t="n">
        <f aca="false">MONTH(B542)</f>
        <v>5</v>
      </c>
      <c r="E542" s="15" t="s">
        <v>48</v>
      </c>
      <c r="F542" s="15" t="s">
        <v>28</v>
      </c>
      <c r="G542" s="15" t="s">
        <v>39</v>
      </c>
      <c r="H542" s="15" t="s">
        <v>40</v>
      </c>
      <c r="I542" s="15" t="n">
        <v>2</v>
      </c>
      <c r="J542" s="18" t="n">
        <v>149</v>
      </c>
      <c r="K542" s="18" t="n">
        <v>60</v>
      </c>
      <c r="L542" s="19" t="n">
        <f aca="false">I542*J542</f>
        <v>298</v>
      </c>
      <c r="M542" s="19" t="n">
        <f aca="false">L542-I542*K542</f>
        <v>178</v>
      </c>
    </row>
    <row r="543" customFormat="false" ht="15" hidden="false" customHeight="false" outlineLevel="0" collapsed="false">
      <c r="A543" s="15" t="s">
        <v>585</v>
      </c>
      <c r="B543" s="16" t="n">
        <v>45703</v>
      </c>
      <c r="C543" s="17" t="n">
        <f aca="false">YEAR(B543)</f>
        <v>2025</v>
      </c>
      <c r="D543" s="17" t="n">
        <f aca="false">MONTH(B543)</f>
        <v>2</v>
      </c>
      <c r="E543" s="15" t="s">
        <v>33</v>
      </c>
      <c r="F543" s="15" t="s">
        <v>34</v>
      </c>
      <c r="G543" s="15" t="s">
        <v>35</v>
      </c>
      <c r="H543" s="15" t="s">
        <v>40</v>
      </c>
      <c r="I543" s="15" t="n">
        <v>1</v>
      </c>
      <c r="J543" s="18" t="n">
        <v>2799</v>
      </c>
      <c r="K543" s="18" t="n">
        <v>2100</v>
      </c>
      <c r="L543" s="19" t="n">
        <f aca="false">I543*J543</f>
        <v>2799</v>
      </c>
      <c r="M543" s="19" t="n">
        <f aca="false">L543-I543*K543</f>
        <v>699</v>
      </c>
    </row>
    <row r="544" customFormat="false" ht="15" hidden="false" customHeight="false" outlineLevel="0" collapsed="false">
      <c r="A544" s="15" t="s">
        <v>586</v>
      </c>
      <c r="B544" s="16" t="n">
        <v>45515</v>
      </c>
      <c r="C544" s="17" t="n">
        <f aca="false">YEAR(B544)</f>
        <v>2024</v>
      </c>
      <c r="D544" s="17" t="n">
        <f aca="false">MONTH(B544)</f>
        <v>8</v>
      </c>
      <c r="E544" s="15" t="s">
        <v>48</v>
      </c>
      <c r="F544" s="15" t="s">
        <v>28</v>
      </c>
      <c r="G544" s="15" t="s">
        <v>43</v>
      </c>
      <c r="H544" s="15" t="s">
        <v>40</v>
      </c>
      <c r="I544" s="15" t="n">
        <v>1</v>
      </c>
      <c r="J544" s="18" t="n">
        <v>149</v>
      </c>
      <c r="K544" s="18" t="n">
        <v>60</v>
      </c>
      <c r="L544" s="19" t="n">
        <f aca="false">I544*J544</f>
        <v>149</v>
      </c>
      <c r="M544" s="19" t="n">
        <f aca="false">L544-I544*K544</f>
        <v>89</v>
      </c>
    </row>
    <row r="545" customFormat="false" ht="15" hidden="false" customHeight="false" outlineLevel="0" collapsed="false">
      <c r="A545" s="15" t="s">
        <v>587</v>
      </c>
      <c r="B545" s="16" t="n">
        <v>45815</v>
      </c>
      <c r="C545" s="17" t="n">
        <f aca="false">YEAR(B545)</f>
        <v>2025</v>
      </c>
      <c r="D545" s="17" t="n">
        <f aca="false">MONTH(B545)</f>
        <v>6</v>
      </c>
      <c r="E545" s="15" t="s">
        <v>37</v>
      </c>
      <c r="F545" s="15" t="s">
        <v>38</v>
      </c>
      <c r="G545" s="15" t="s">
        <v>39</v>
      </c>
      <c r="H545" s="15" t="s">
        <v>30</v>
      </c>
      <c r="I545" s="15" t="n">
        <v>3</v>
      </c>
      <c r="J545" s="18" t="n">
        <v>449</v>
      </c>
      <c r="K545" s="18" t="n">
        <v>260</v>
      </c>
      <c r="L545" s="19" t="n">
        <f aca="false">I545*J545</f>
        <v>1347</v>
      </c>
      <c r="M545" s="19" t="n">
        <f aca="false">L545-I545*K545</f>
        <v>567</v>
      </c>
    </row>
    <row r="546" customFormat="false" ht="15" hidden="false" customHeight="false" outlineLevel="0" collapsed="false">
      <c r="A546" s="15" t="s">
        <v>588</v>
      </c>
      <c r="B546" s="16" t="n">
        <v>46019</v>
      </c>
      <c r="C546" s="17" t="n">
        <f aca="false">YEAR(B546)</f>
        <v>2025</v>
      </c>
      <c r="D546" s="17" t="n">
        <f aca="false">MONTH(B546)</f>
        <v>12</v>
      </c>
      <c r="E546" s="15" t="s">
        <v>37</v>
      </c>
      <c r="F546" s="15" t="s">
        <v>38</v>
      </c>
      <c r="G546" s="15" t="s">
        <v>43</v>
      </c>
      <c r="H546" s="15" t="s">
        <v>30</v>
      </c>
      <c r="I546" s="15" t="n">
        <v>3</v>
      </c>
      <c r="J546" s="18" t="n">
        <v>449</v>
      </c>
      <c r="K546" s="18" t="n">
        <v>260</v>
      </c>
      <c r="L546" s="19" t="n">
        <f aca="false">I546*J546</f>
        <v>1347</v>
      </c>
      <c r="M546" s="19" t="n">
        <f aca="false">L546-I546*K546</f>
        <v>567</v>
      </c>
    </row>
    <row r="547" customFormat="false" ht="15" hidden="false" customHeight="false" outlineLevel="0" collapsed="false">
      <c r="A547" s="15" t="s">
        <v>589</v>
      </c>
      <c r="B547" s="16" t="n">
        <v>45472</v>
      </c>
      <c r="C547" s="17" t="n">
        <f aca="false">YEAR(B547)</f>
        <v>2024</v>
      </c>
      <c r="D547" s="17" t="n">
        <f aca="false">MONTH(B547)</f>
        <v>6</v>
      </c>
      <c r="E547" s="15" t="s">
        <v>27</v>
      </c>
      <c r="F547" s="15" t="s">
        <v>28</v>
      </c>
      <c r="G547" s="15" t="s">
        <v>55</v>
      </c>
      <c r="H547" s="15" t="s">
        <v>30</v>
      </c>
      <c r="I547" s="15" t="n">
        <v>2</v>
      </c>
      <c r="J547" s="18" t="n">
        <v>100</v>
      </c>
      <c r="K547" s="18" t="n">
        <v>88</v>
      </c>
      <c r="L547" s="19" t="n">
        <f aca="false">I547*J547</f>
        <v>200</v>
      </c>
      <c r="M547" s="19" t="n">
        <f aca="false">L547-I547*K547</f>
        <v>24</v>
      </c>
    </row>
    <row r="548" customFormat="false" ht="15" hidden="false" customHeight="false" outlineLevel="0" collapsed="false">
      <c r="A548" s="15" t="s">
        <v>590</v>
      </c>
      <c r="B548" s="16" t="n">
        <v>45868</v>
      </c>
      <c r="C548" s="17" t="n">
        <f aca="false">YEAR(B548)</f>
        <v>2025</v>
      </c>
      <c r="D548" s="17" t="n">
        <f aca="false">MONTH(B548)</f>
        <v>7</v>
      </c>
      <c r="E548" s="15" t="s">
        <v>48</v>
      </c>
      <c r="F548" s="15" t="s">
        <v>28</v>
      </c>
      <c r="G548" s="15" t="s">
        <v>29</v>
      </c>
      <c r="H548" s="15" t="s">
        <v>40</v>
      </c>
      <c r="I548" s="15" t="n">
        <v>2</v>
      </c>
      <c r="J548" s="18" t="n">
        <v>149</v>
      </c>
      <c r="K548" s="18" t="n">
        <v>60</v>
      </c>
      <c r="L548" s="19" t="n">
        <f aca="false">I548*J548</f>
        <v>298</v>
      </c>
      <c r="M548" s="19" t="n">
        <f aca="false">L548-I548*K548</f>
        <v>178</v>
      </c>
    </row>
    <row r="549" customFormat="false" ht="15" hidden="false" customHeight="false" outlineLevel="0" collapsed="false">
      <c r="A549" s="15" t="s">
        <v>591</v>
      </c>
      <c r="B549" s="16" t="n">
        <v>45821</v>
      </c>
      <c r="C549" s="17" t="n">
        <f aca="false">YEAR(B549)</f>
        <v>2025</v>
      </c>
      <c r="D549" s="17" t="n">
        <f aca="false">MONTH(B549)</f>
        <v>6</v>
      </c>
      <c r="E549" s="15" t="s">
        <v>37</v>
      </c>
      <c r="F549" s="15" t="s">
        <v>38</v>
      </c>
      <c r="G549" s="15" t="s">
        <v>35</v>
      </c>
      <c r="H549" s="15" t="s">
        <v>50</v>
      </c>
      <c r="I549" s="15" t="n">
        <v>2</v>
      </c>
      <c r="J549" s="18" t="n">
        <v>449</v>
      </c>
      <c r="K549" s="18" t="n">
        <v>260</v>
      </c>
      <c r="L549" s="19" t="n">
        <f aca="false">I549*J549</f>
        <v>898</v>
      </c>
      <c r="M549" s="19" t="n">
        <f aca="false">L549-I549*K549</f>
        <v>378</v>
      </c>
    </row>
    <row r="550" customFormat="false" ht="15" hidden="false" customHeight="false" outlineLevel="0" collapsed="false">
      <c r="A550" s="15" t="s">
        <v>592</v>
      </c>
      <c r="B550" s="16" t="n">
        <v>45926</v>
      </c>
      <c r="C550" s="17" t="n">
        <f aca="false">YEAR(B550)</f>
        <v>2025</v>
      </c>
      <c r="D550" s="17" t="n">
        <f aca="false">MONTH(B550)</f>
        <v>9</v>
      </c>
      <c r="E550" s="15" t="s">
        <v>33</v>
      </c>
      <c r="F550" s="15" t="s">
        <v>34</v>
      </c>
      <c r="G550" s="15" t="s">
        <v>29</v>
      </c>
      <c r="H550" s="15" t="s">
        <v>30</v>
      </c>
      <c r="I550" s="15" t="n">
        <v>1</v>
      </c>
      <c r="J550" s="18" t="n">
        <v>2799</v>
      </c>
      <c r="K550" s="18" t="n">
        <v>2100</v>
      </c>
      <c r="L550" s="19" t="n">
        <f aca="false">I550*J550</f>
        <v>2799</v>
      </c>
      <c r="M550" s="19" t="n">
        <f aca="false">L550-I550*K550</f>
        <v>699</v>
      </c>
    </row>
    <row r="551" customFormat="false" ht="15" hidden="false" customHeight="false" outlineLevel="0" collapsed="false">
      <c r="A551" s="15" t="s">
        <v>593</v>
      </c>
      <c r="B551" s="16" t="n">
        <v>45966</v>
      </c>
      <c r="C551" s="17" t="n">
        <f aca="false">YEAR(B551)</f>
        <v>2025</v>
      </c>
      <c r="D551" s="17" t="n">
        <f aca="false">MONTH(B551)</f>
        <v>11</v>
      </c>
      <c r="E551" s="15" t="s">
        <v>37</v>
      </c>
      <c r="F551" s="15" t="s">
        <v>38</v>
      </c>
      <c r="G551" s="15" t="s">
        <v>35</v>
      </c>
      <c r="H551" s="15" t="s">
        <v>40</v>
      </c>
      <c r="I551" s="15" t="n">
        <v>4</v>
      </c>
      <c r="J551" s="18" t="n">
        <v>449</v>
      </c>
      <c r="K551" s="18" t="n">
        <v>260</v>
      </c>
      <c r="L551" s="19" t="n">
        <f aca="false">I551*J551</f>
        <v>1796</v>
      </c>
      <c r="M551" s="19" t="n">
        <f aca="false">L551-I551*K551</f>
        <v>756</v>
      </c>
    </row>
    <row r="552" customFormat="false" ht="15" hidden="false" customHeight="false" outlineLevel="0" collapsed="false">
      <c r="A552" s="15" t="s">
        <v>594</v>
      </c>
      <c r="B552" s="16" t="n">
        <v>45954</v>
      </c>
      <c r="C552" s="17" t="n">
        <f aca="false">YEAR(B552)</f>
        <v>2025</v>
      </c>
      <c r="D552" s="17" t="n">
        <f aca="false">MONTH(B552)</f>
        <v>10</v>
      </c>
      <c r="E552" s="15" t="s">
        <v>33</v>
      </c>
      <c r="F552" s="15" t="s">
        <v>34</v>
      </c>
      <c r="G552" s="15" t="s">
        <v>29</v>
      </c>
      <c r="H552" s="15" t="s">
        <v>40</v>
      </c>
      <c r="I552" s="15" t="n">
        <v>2</v>
      </c>
      <c r="J552" s="18" t="n">
        <v>2799</v>
      </c>
      <c r="K552" s="18" t="n">
        <v>2100</v>
      </c>
      <c r="L552" s="19" t="n">
        <f aca="false">I552*J552</f>
        <v>5598</v>
      </c>
      <c r="M552" s="19" t="n">
        <f aca="false">L552-I552*K552</f>
        <v>1398</v>
      </c>
    </row>
    <row r="553" customFormat="false" ht="15" hidden="false" customHeight="false" outlineLevel="0" collapsed="false">
      <c r="A553" s="15" t="s">
        <v>595</v>
      </c>
      <c r="B553" s="16" t="n">
        <v>45485</v>
      </c>
      <c r="C553" s="17" t="n">
        <f aca="false">YEAR(B553)</f>
        <v>2024</v>
      </c>
      <c r="D553" s="17" t="n">
        <f aca="false">MONTH(B553)</f>
        <v>7</v>
      </c>
      <c r="E553" s="15" t="s">
        <v>37</v>
      </c>
      <c r="F553" s="15" t="s">
        <v>38</v>
      </c>
      <c r="G553" s="15" t="s">
        <v>29</v>
      </c>
      <c r="H553" s="15" t="s">
        <v>30</v>
      </c>
      <c r="I553" s="15" t="n">
        <v>4</v>
      </c>
      <c r="J553" s="18" t="n">
        <v>449</v>
      </c>
      <c r="K553" s="18" t="n">
        <v>260</v>
      </c>
      <c r="L553" s="19" t="n">
        <f aca="false">I553*J553</f>
        <v>1796</v>
      </c>
      <c r="M553" s="19" t="n">
        <f aca="false">L553-I553*K553</f>
        <v>756</v>
      </c>
    </row>
    <row r="554" customFormat="false" ht="15" hidden="false" customHeight="false" outlineLevel="0" collapsed="false">
      <c r="A554" s="15" t="s">
        <v>596</v>
      </c>
      <c r="B554" s="16" t="n">
        <v>45884</v>
      </c>
      <c r="C554" s="17" t="n">
        <f aca="false">YEAR(B554)</f>
        <v>2025</v>
      </c>
      <c r="D554" s="17" t="n">
        <f aca="false">MONTH(B554)</f>
        <v>8</v>
      </c>
      <c r="E554" s="15" t="s">
        <v>37</v>
      </c>
      <c r="F554" s="15" t="s">
        <v>38</v>
      </c>
      <c r="G554" s="15" t="s">
        <v>55</v>
      </c>
      <c r="H554" s="15" t="s">
        <v>30</v>
      </c>
      <c r="I554" s="15" t="n">
        <v>4</v>
      </c>
      <c r="J554" s="18" t="n">
        <v>449</v>
      </c>
      <c r="K554" s="18" t="n">
        <v>260</v>
      </c>
      <c r="L554" s="19" t="n">
        <f aca="false">I554*J554</f>
        <v>1796</v>
      </c>
      <c r="M554" s="19" t="n">
        <f aca="false">L554-I554*K554</f>
        <v>756</v>
      </c>
    </row>
    <row r="555" customFormat="false" ht="15" hidden="false" customHeight="false" outlineLevel="0" collapsed="false">
      <c r="A555" s="15" t="s">
        <v>597</v>
      </c>
      <c r="B555" s="16" t="n">
        <v>45743</v>
      </c>
      <c r="C555" s="17" t="n">
        <f aca="false">YEAR(B555)</f>
        <v>2025</v>
      </c>
      <c r="D555" s="17" t="n">
        <f aca="false">MONTH(B555)</f>
        <v>3</v>
      </c>
      <c r="E555" s="15" t="s">
        <v>37</v>
      </c>
      <c r="F555" s="15" t="s">
        <v>38</v>
      </c>
      <c r="G555" s="15" t="s">
        <v>39</v>
      </c>
      <c r="H555" s="15" t="s">
        <v>50</v>
      </c>
      <c r="I555" s="15" t="n">
        <v>1</v>
      </c>
      <c r="J555" s="18" t="n">
        <v>449</v>
      </c>
      <c r="K555" s="18" t="n">
        <v>260</v>
      </c>
      <c r="L555" s="19" t="n">
        <f aca="false">I555*J555</f>
        <v>449</v>
      </c>
      <c r="M555" s="19" t="n">
        <f aca="false">L555-I555*K555</f>
        <v>189</v>
      </c>
    </row>
    <row r="556" customFormat="false" ht="15" hidden="false" customHeight="false" outlineLevel="0" collapsed="false">
      <c r="A556" s="15" t="s">
        <v>598</v>
      </c>
      <c r="B556" s="16" t="n">
        <v>45499</v>
      </c>
      <c r="C556" s="17" t="n">
        <f aca="false">YEAR(B556)</f>
        <v>2024</v>
      </c>
      <c r="D556" s="17" t="n">
        <f aca="false">MONTH(B556)</f>
        <v>7</v>
      </c>
      <c r="E556" s="15" t="s">
        <v>57</v>
      </c>
      <c r="F556" s="15" t="s">
        <v>38</v>
      </c>
      <c r="G556" s="15" t="s">
        <v>39</v>
      </c>
      <c r="H556" s="15" t="s">
        <v>50</v>
      </c>
      <c r="I556" s="15" t="n">
        <v>1</v>
      </c>
      <c r="J556" s="18" t="n">
        <v>699</v>
      </c>
      <c r="K556" s="18" t="n">
        <v>420</v>
      </c>
      <c r="L556" s="19" t="n">
        <f aca="false">I556*J556</f>
        <v>699</v>
      </c>
      <c r="M556" s="19" t="n">
        <f aca="false">L556-I556*K556</f>
        <v>279</v>
      </c>
    </row>
    <row r="557" customFormat="false" ht="15" hidden="false" customHeight="false" outlineLevel="0" collapsed="false">
      <c r="A557" s="15" t="s">
        <v>599</v>
      </c>
      <c r="B557" s="16" t="n">
        <v>45957</v>
      </c>
      <c r="C557" s="17" t="n">
        <f aca="false">YEAR(B557)</f>
        <v>2025</v>
      </c>
      <c r="D557" s="17" t="n">
        <f aca="false">MONTH(B557)</f>
        <v>10</v>
      </c>
      <c r="E557" s="15" t="s">
        <v>33</v>
      </c>
      <c r="F557" s="15" t="s">
        <v>34</v>
      </c>
      <c r="G557" s="15" t="s">
        <v>29</v>
      </c>
      <c r="H557" s="15" t="s">
        <v>30</v>
      </c>
      <c r="I557" s="15" t="n">
        <v>2</v>
      </c>
      <c r="J557" s="18" t="n">
        <v>2799</v>
      </c>
      <c r="K557" s="18" t="n">
        <v>2100</v>
      </c>
      <c r="L557" s="19" t="n">
        <f aca="false">I557*J557</f>
        <v>5598</v>
      </c>
      <c r="M557" s="19" t="n">
        <f aca="false">L557-I557*K557</f>
        <v>1398</v>
      </c>
    </row>
    <row r="558" customFormat="false" ht="15" hidden="false" customHeight="false" outlineLevel="0" collapsed="false">
      <c r="A558" s="15" t="s">
        <v>600</v>
      </c>
      <c r="B558" s="16" t="n">
        <v>45761</v>
      </c>
      <c r="C558" s="17" t="n">
        <f aca="false">YEAR(B558)</f>
        <v>2025</v>
      </c>
      <c r="D558" s="17" t="n">
        <f aca="false">MONTH(B558)</f>
        <v>4</v>
      </c>
      <c r="E558" s="15" t="s">
        <v>37</v>
      </c>
      <c r="F558" s="15" t="s">
        <v>38</v>
      </c>
      <c r="G558" s="15" t="s">
        <v>29</v>
      </c>
      <c r="H558" s="15" t="s">
        <v>50</v>
      </c>
      <c r="I558" s="15" t="n">
        <v>1</v>
      </c>
      <c r="J558" s="18" t="n">
        <v>449</v>
      </c>
      <c r="K558" s="18" t="n">
        <v>260</v>
      </c>
      <c r="L558" s="19" t="n">
        <f aca="false">I558*J558</f>
        <v>449</v>
      </c>
      <c r="M558" s="19" t="n">
        <f aca="false">L558-I558*K558</f>
        <v>189</v>
      </c>
    </row>
    <row r="559" customFormat="false" ht="15" hidden="false" customHeight="false" outlineLevel="0" collapsed="false">
      <c r="A559" s="15" t="s">
        <v>601</v>
      </c>
      <c r="B559" s="16" t="n">
        <v>45872</v>
      </c>
      <c r="C559" s="17" t="n">
        <f aca="false">YEAR(B559)</f>
        <v>2025</v>
      </c>
      <c r="D559" s="17" t="n">
        <f aca="false">MONTH(B559)</f>
        <v>8</v>
      </c>
      <c r="E559" s="15" t="s">
        <v>33</v>
      </c>
      <c r="F559" s="15" t="s">
        <v>34</v>
      </c>
      <c r="G559" s="15" t="s">
        <v>29</v>
      </c>
      <c r="H559" s="15" t="s">
        <v>50</v>
      </c>
      <c r="I559" s="15" t="n">
        <v>2</v>
      </c>
      <c r="J559" s="18" t="n">
        <v>2799</v>
      </c>
      <c r="K559" s="18" t="n">
        <v>2100</v>
      </c>
      <c r="L559" s="19" t="n">
        <f aca="false">I559*J559</f>
        <v>5598</v>
      </c>
      <c r="M559" s="19" t="n">
        <f aca="false">L559-I559*K559</f>
        <v>1398</v>
      </c>
    </row>
    <row r="560" customFormat="false" ht="15" hidden="false" customHeight="false" outlineLevel="0" collapsed="false">
      <c r="A560" s="15" t="s">
        <v>602</v>
      </c>
      <c r="B560" s="16" t="n">
        <v>45429</v>
      </c>
      <c r="C560" s="17" t="n">
        <f aca="false">YEAR(B560)</f>
        <v>2024</v>
      </c>
      <c r="D560" s="17" t="n">
        <f aca="false">MONTH(B560)</f>
        <v>5</v>
      </c>
      <c r="E560" s="15" t="s">
        <v>27</v>
      </c>
      <c r="F560" s="15" t="s">
        <v>28</v>
      </c>
      <c r="G560" s="15" t="s">
        <v>29</v>
      </c>
      <c r="H560" s="15" t="s">
        <v>50</v>
      </c>
      <c r="I560" s="15" t="n">
        <v>1</v>
      </c>
      <c r="J560" s="18" t="n">
        <v>100</v>
      </c>
      <c r="K560" s="18" t="n">
        <v>88</v>
      </c>
      <c r="L560" s="19" t="n">
        <f aca="false">I560*J560</f>
        <v>100</v>
      </c>
      <c r="M560" s="19" t="n">
        <f aca="false">L560-I560*K560</f>
        <v>12</v>
      </c>
    </row>
    <row r="561" customFormat="false" ht="15" hidden="false" customHeight="false" outlineLevel="0" collapsed="false">
      <c r="A561" s="15" t="s">
        <v>603</v>
      </c>
      <c r="B561" s="16" t="n">
        <v>45819</v>
      </c>
      <c r="C561" s="17" t="n">
        <f aca="false">YEAR(B561)</f>
        <v>2025</v>
      </c>
      <c r="D561" s="17" t="n">
        <f aca="false">MONTH(B561)</f>
        <v>6</v>
      </c>
      <c r="E561" s="15" t="s">
        <v>33</v>
      </c>
      <c r="F561" s="15" t="s">
        <v>34</v>
      </c>
      <c r="G561" s="15" t="s">
        <v>29</v>
      </c>
      <c r="H561" s="15" t="s">
        <v>50</v>
      </c>
      <c r="I561" s="15" t="n">
        <v>2</v>
      </c>
      <c r="J561" s="18" t="n">
        <v>2799</v>
      </c>
      <c r="K561" s="18" t="n">
        <v>2100</v>
      </c>
      <c r="L561" s="19" t="n">
        <f aca="false">I561*J561</f>
        <v>5598</v>
      </c>
      <c r="M561" s="19" t="n">
        <f aca="false">L561-I561*K561</f>
        <v>1398</v>
      </c>
    </row>
    <row r="562" customFormat="false" ht="15" hidden="false" customHeight="false" outlineLevel="0" collapsed="false">
      <c r="A562" s="15" t="s">
        <v>604</v>
      </c>
      <c r="B562" s="16" t="n">
        <v>45488</v>
      </c>
      <c r="C562" s="17" t="n">
        <f aca="false">YEAR(B562)</f>
        <v>2024</v>
      </c>
      <c r="D562" s="17" t="n">
        <f aca="false">MONTH(B562)</f>
        <v>7</v>
      </c>
      <c r="E562" s="15" t="s">
        <v>57</v>
      </c>
      <c r="F562" s="15" t="s">
        <v>38</v>
      </c>
      <c r="G562" s="15" t="s">
        <v>39</v>
      </c>
      <c r="H562" s="15" t="s">
        <v>50</v>
      </c>
      <c r="I562" s="15" t="n">
        <v>1</v>
      </c>
      <c r="J562" s="18" t="n">
        <v>699</v>
      </c>
      <c r="K562" s="18" t="n">
        <v>420</v>
      </c>
      <c r="L562" s="19" t="n">
        <f aca="false">I562*J562</f>
        <v>699</v>
      </c>
      <c r="M562" s="19" t="n">
        <f aca="false">L562-I562*K562</f>
        <v>279</v>
      </c>
    </row>
    <row r="563" customFormat="false" ht="15" hidden="false" customHeight="false" outlineLevel="0" collapsed="false">
      <c r="A563" s="15" t="s">
        <v>605</v>
      </c>
      <c r="B563" s="16" t="n">
        <v>45350</v>
      </c>
      <c r="C563" s="17" t="n">
        <f aca="false">YEAR(B563)</f>
        <v>2024</v>
      </c>
      <c r="D563" s="17" t="n">
        <f aca="false">MONTH(B563)</f>
        <v>2</v>
      </c>
      <c r="E563" s="15" t="s">
        <v>37</v>
      </c>
      <c r="F563" s="15" t="s">
        <v>38</v>
      </c>
      <c r="G563" s="15" t="s">
        <v>55</v>
      </c>
      <c r="H563" s="15" t="s">
        <v>30</v>
      </c>
      <c r="I563" s="15" t="n">
        <v>1</v>
      </c>
      <c r="J563" s="18" t="n">
        <v>449</v>
      </c>
      <c r="K563" s="18" t="n">
        <v>260</v>
      </c>
      <c r="L563" s="19" t="n">
        <f aca="false">I563*J563</f>
        <v>449</v>
      </c>
      <c r="M563" s="19" t="n">
        <f aca="false">L563-I563*K563</f>
        <v>189</v>
      </c>
    </row>
    <row r="564" customFormat="false" ht="15" hidden="false" customHeight="false" outlineLevel="0" collapsed="false">
      <c r="A564" s="15" t="s">
        <v>606</v>
      </c>
      <c r="B564" s="16" t="n">
        <v>45900</v>
      </c>
      <c r="C564" s="17" t="n">
        <f aca="false">YEAR(B564)</f>
        <v>2025</v>
      </c>
      <c r="D564" s="17" t="n">
        <f aca="false">MONTH(B564)</f>
        <v>8</v>
      </c>
      <c r="E564" s="15" t="s">
        <v>27</v>
      </c>
      <c r="F564" s="15" t="s">
        <v>28</v>
      </c>
      <c r="G564" s="15" t="s">
        <v>55</v>
      </c>
      <c r="H564" s="15" t="s">
        <v>50</v>
      </c>
      <c r="I564" s="15" t="n">
        <v>4</v>
      </c>
      <c r="J564" s="18" t="n">
        <v>100</v>
      </c>
      <c r="K564" s="18" t="n">
        <v>88</v>
      </c>
      <c r="L564" s="19" t="n">
        <f aca="false">I564*J564</f>
        <v>400</v>
      </c>
      <c r="M564" s="19" t="n">
        <f aca="false">L564-I564*K564</f>
        <v>48</v>
      </c>
    </row>
    <row r="565" customFormat="false" ht="15" hidden="false" customHeight="false" outlineLevel="0" collapsed="false">
      <c r="A565" s="15" t="s">
        <v>607</v>
      </c>
      <c r="B565" s="16" t="n">
        <v>45728</v>
      </c>
      <c r="C565" s="17" t="n">
        <f aca="false">YEAR(B565)</f>
        <v>2025</v>
      </c>
      <c r="D565" s="17" t="n">
        <f aca="false">MONTH(B565)</f>
        <v>3</v>
      </c>
      <c r="E565" s="15" t="s">
        <v>27</v>
      </c>
      <c r="F565" s="15" t="s">
        <v>28</v>
      </c>
      <c r="G565" s="15" t="s">
        <v>29</v>
      </c>
      <c r="H565" s="15" t="s">
        <v>50</v>
      </c>
      <c r="I565" s="15" t="n">
        <v>1</v>
      </c>
      <c r="J565" s="18" t="n">
        <v>100</v>
      </c>
      <c r="K565" s="18" t="n">
        <v>88</v>
      </c>
      <c r="L565" s="19" t="n">
        <f aca="false">I565*J565</f>
        <v>100</v>
      </c>
      <c r="M565" s="19" t="n">
        <f aca="false">L565-I565*K565</f>
        <v>12</v>
      </c>
    </row>
    <row r="566" customFormat="false" ht="15" hidden="false" customHeight="false" outlineLevel="0" collapsed="false">
      <c r="A566" s="15" t="s">
        <v>608</v>
      </c>
      <c r="B566" s="16" t="n">
        <v>45868</v>
      </c>
      <c r="C566" s="17" t="n">
        <f aca="false">YEAR(B566)</f>
        <v>2025</v>
      </c>
      <c r="D566" s="17" t="n">
        <f aca="false">MONTH(B566)</f>
        <v>7</v>
      </c>
      <c r="E566" s="15" t="s">
        <v>33</v>
      </c>
      <c r="F566" s="15" t="s">
        <v>34</v>
      </c>
      <c r="G566" s="15" t="s">
        <v>39</v>
      </c>
      <c r="H566" s="15" t="s">
        <v>50</v>
      </c>
      <c r="I566" s="15" t="n">
        <v>2</v>
      </c>
      <c r="J566" s="18" t="n">
        <v>2799</v>
      </c>
      <c r="K566" s="18" t="n">
        <v>2100</v>
      </c>
      <c r="L566" s="19" t="n">
        <f aca="false">I566*J566</f>
        <v>5598</v>
      </c>
      <c r="M566" s="19" t="n">
        <f aca="false">L566-I566*K566</f>
        <v>1398</v>
      </c>
    </row>
    <row r="567" customFormat="false" ht="15" hidden="false" customHeight="false" outlineLevel="0" collapsed="false">
      <c r="A567" s="15" t="s">
        <v>609</v>
      </c>
      <c r="B567" s="16" t="n">
        <v>45641</v>
      </c>
      <c r="C567" s="17" t="n">
        <f aca="false">YEAR(B567)</f>
        <v>2024</v>
      </c>
      <c r="D567" s="17" t="n">
        <f aca="false">MONTH(B567)</f>
        <v>12</v>
      </c>
      <c r="E567" s="15" t="s">
        <v>48</v>
      </c>
      <c r="F567" s="15" t="s">
        <v>28</v>
      </c>
      <c r="G567" s="15" t="s">
        <v>35</v>
      </c>
      <c r="H567" s="15" t="s">
        <v>30</v>
      </c>
      <c r="I567" s="15" t="n">
        <v>1</v>
      </c>
      <c r="J567" s="18" t="n">
        <v>149</v>
      </c>
      <c r="K567" s="18" t="n">
        <v>60</v>
      </c>
      <c r="L567" s="19" t="n">
        <f aca="false">I567*J567</f>
        <v>149</v>
      </c>
      <c r="M567" s="19" t="n">
        <f aca="false">L567-I567*K567</f>
        <v>89</v>
      </c>
    </row>
    <row r="568" customFormat="false" ht="15" hidden="false" customHeight="false" outlineLevel="0" collapsed="false">
      <c r="A568" s="15" t="s">
        <v>610</v>
      </c>
      <c r="B568" s="16" t="n">
        <v>45673</v>
      </c>
      <c r="C568" s="17" t="n">
        <f aca="false">YEAR(B568)</f>
        <v>2025</v>
      </c>
      <c r="D568" s="17" t="n">
        <f aca="false">MONTH(B568)</f>
        <v>1</v>
      </c>
      <c r="E568" s="15" t="s">
        <v>57</v>
      </c>
      <c r="F568" s="15" t="s">
        <v>38</v>
      </c>
      <c r="G568" s="15" t="s">
        <v>29</v>
      </c>
      <c r="H568" s="15" t="s">
        <v>30</v>
      </c>
      <c r="I568" s="15" t="n">
        <v>3</v>
      </c>
      <c r="J568" s="18" t="n">
        <v>699</v>
      </c>
      <c r="K568" s="18" t="n">
        <v>420</v>
      </c>
      <c r="L568" s="19" t="n">
        <f aca="false">I568*J568</f>
        <v>2097</v>
      </c>
      <c r="M568" s="19" t="n">
        <f aca="false">L568-I568*K568</f>
        <v>837</v>
      </c>
    </row>
    <row r="569" customFormat="false" ht="15" hidden="false" customHeight="false" outlineLevel="0" collapsed="false">
      <c r="A569" s="15" t="s">
        <v>611</v>
      </c>
      <c r="B569" s="16" t="n">
        <v>45910</v>
      </c>
      <c r="C569" s="17" t="n">
        <f aca="false">YEAR(B569)</f>
        <v>2025</v>
      </c>
      <c r="D569" s="17" t="n">
        <f aca="false">MONTH(B569)</f>
        <v>9</v>
      </c>
      <c r="E569" s="15" t="s">
        <v>37</v>
      </c>
      <c r="F569" s="15" t="s">
        <v>38</v>
      </c>
      <c r="G569" s="15" t="s">
        <v>29</v>
      </c>
      <c r="H569" s="15" t="s">
        <v>50</v>
      </c>
      <c r="I569" s="15" t="n">
        <v>3</v>
      </c>
      <c r="J569" s="18" t="n">
        <v>449</v>
      </c>
      <c r="K569" s="18" t="n">
        <v>260</v>
      </c>
      <c r="L569" s="19" t="n">
        <f aca="false">I569*J569</f>
        <v>1347</v>
      </c>
      <c r="M569" s="19" t="n">
        <f aca="false">L569-I569*K569</f>
        <v>567</v>
      </c>
    </row>
    <row r="570" customFormat="false" ht="15" hidden="false" customHeight="false" outlineLevel="0" collapsed="false">
      <c r="A570" s="15" t="s">
        <v>612</v>
      </c>
      <c r="B570" s="16" t="n">
        <v>45407</v>
      </c>
      <c r="C570" s="17" t="n">
        <f aca="false">YEAR(B570)</f>
        <v>2024</v>
      </c>
      <c r="D570" s="17" t="n">
        <f aca="false">MONTH(B570)</f>
        <v>4</v>
      </c>
      <c r="E570" s="15" t="s">
        <v>62</v>
      </c>
      <c r="F570" s="15" t="s">
        <v>34</v>
      </c>
      <c r="G570" s="15" t="s">
        <v>39</v>
      </c>
      <c r="H570" s="15" t="s">
        <v>30</v>
      </c>
      <c r="I570" s="15" t="n">
        <v>1</v>
      </c>
      <c r="J570" s="18" t="n">
        <v>4499</v>
      </c>
      <c r="K570" s="18" t="n">
        <v>3400</v>
      </c>
      <c r="L570" s="19" t="n">
        <f aca="false">I570*J570</f>
        <v>4499</v>
      </c>
      <c r="M570" s="19" t="n">
        <f aca="false">L570-I570*K570</f>
        <v>1099</v>
      </c>
    </row>
    <row r="571" customFormat="false" ht="15" hidden="false" customHeight="false" outlineLevel="0" collapsed="false">
      <c r="A571" s="15" t="s">
        <v>613</v>
      </c>
      <c r="B571" s="16" t="n">
        <v>45749</v>
      </c>
      <c r="C571" s="17" t="n">
        <f aca="false">YEAR(B571)</f>
        <v>2025</v>
      </c>
      <c r="D571" s="17" t="n">
        <f aca="false">MONTH(B571)</f>
        <v>4</v>
      </c>
      <c r="E571" s="15" t="s">
        <v>62</v>
      </c>
      <c r="F571" s="15" t="s">
        <v>34</v>
      </c>
      <c r="G571" s="15" t="s">
        <v>39</v>
      </c>
      <c r="H571" s="15" t="s">
        <v>30</v>
      </c>
      <c r="I571" s="15" t="n">
        <v>2</v>
      </c>
      <c r="J571" s="18" t="n">
        <v>4499</v>
      </c>
      <c r="K571" s="18" t="n">
        <v>3400</v>
      </c>
      <c r="L571" s="19" t="n">
        <f aca="false">I571*J571</f>
        <v>8998</v>
      </c>
      <c r="M571" s="19" t="n">
        <f aca="false">L571-I571*K571</f>
        <v>2198</v>
      </c>
    </row>
    <row r="572" customFormat="false" ht="15" hidden="false" customHeight="false" outlineLevel="0" collapsed="false">
      <c r="A572" s="15" t="s">
        <v>614</v>
      </c>
      <c r="B572" s="16" t="n">
        <v>45405</v>
      </c>
      <c r="C572" s="17" t="n">
        <f aca="false">YEAR(B572)</f>
        <v>2024</v>
      </c>
      <c r="D572" s="17" t="n">
        <f aca="false">MONTH(B572)</f>
        <v>4</v>
      </c>
      <c r="E572" s="15" t="s">
        <v>33</v>
      </c>
      <c r="F572" s="15" t="s">
        <v>34</v>
      </c>
      <c r="G572" s="15" t="s">
        <v>39</v>
      </c>
      <c r="H572" s="15" t="s">
        <v>40</v>
      </c>
      <c r="I572" s="15" t="n">
        <v>2</v>
      </c>
      <c r="J572" s="18" t="n">
        <v>2799</v>
      </c>
      <c r="K572" s="18" t="n">
        <v>2100</v>
      </c>
      <c r="L572" s="19" t="n">
        <f aca="false">I572*J572</f>
        <v>5598</v>
      </c>
      <c r="M572" s="19" t="n">
        <f aca="false">L572-I572*K572</f>
        <v>1398</v>
      </c>
    </row>
    <row r="573" customFormat="false" ht="15" hidden="false" customHeight="false" outlineLevel="0" collapsed="false">
      <c r="A573" s="15" t="s">
        <v>615</v>
      </c>
      <c r="B573" s="16" t="n">
        <v>45588</v>
      </c>
      <c r="C573" s="17" t="n">
        <f aca="false">YEAR(B573)</f>
        <v>2024</v>
      </c>
      <c r="D573" s="17" t="n">
        <f aca="false">MONTH(B573)</f>
        <v>10</v>
      </c>
      <c r="E573" s="15" t="s">
        <v>27</v>
      </c>
      <c r="F573" s="15" t="s">
        <v>28</v>
      </c>
      <c r="G573" s="15" t="s">
        <v>35</v>
      </c>
      <c r="H573" s="15" t="s">
        <v>40</v>
      </c>
      <c r="I573" s="15" t="n">
        <v>4</v>
      </c>
      <c r="J573" s="18" t="n">
        <v>100</v>
      </c>
      <c r="K573" s="18" t="n">
        <v>88</v>
      </c>
      <c r="L573" s="19" t="n">
        <f aca="false">I573*J573</f>
        <v>400</v>
      </c>
      <c r="M573" s="19" t="n">
        <f aca="false">L573-I573*K573</f>
        <v>48</v>
      </c>
    </row>
    <row r="574" customFormat="false" ht="15" hidden="false" customHeight="false" outlineLevel="0" collapsed="false">
      <c r="A574" s="15" t="s">
        <v>616</v>
      </c>
      <c r="B574" s="16" t="n">
        <v>45548</v>
      </c>
      <c r="C574" s="17" t="n">
        <f aca="false">YEAR(B574)</f>
        <v>2024</v>
      </c>
      <c r="D574" s="17" t="n">
        <f aca="false">MONTH(B574)</f>
        <v>9</v>
      </c>
      <c r="E574" s="15" t="s">
        <v>57</v>
      </c>
      <c r="F574" s="15" t="s">
        <v>38</v>
      </c>
      <c r="G574" s="15" t="s">
        <v>35</v>
      </c>
      <c r="H574" s="15" t="s">
        <v>30</v>
      </c>
      <c r="I574" s="15" t="n">
        <v>3</v>
      </c>
      <c r="J574" s="18" t="n">
        <v>699</v>
      </c>
      <c r="K574" s="18" t="n">
        <v>420</v>
      </c>
      <c r="L574" s="19" t="n">
        <f aca="false">I574*J574</f>
        <v>2097</v>
      </c>
      <c r="M574" s="19" t="n">
        <f aca="false">L574-I574*K574</f>
        <v>837</v>
      </c>
    </row>
    <row r="575" customFormat="false" ht="15" hidden="false" customHeight="false" outlineLevel="0" collapsed="false">
      <c r="A575" s="15" t="s">
        <v>617</v>
      </c>
      <c r="B575" s="16" t="n">
        <v>45642</v>
      </c>
      <c r="C575" s="17" t="n">
        <f aca="false">YEAR(B575)</f>
        <v>2024</v>
      </c>
      <c r="D575" s="17" t="n">
        <f aca="false">MONTH(B575)</f>
        <v>12</v>
      </c>
      <c r="E575" s="15" t="s">
        <v>27</v>
      </c>
      <c r="F575" s="15" t="s">
        <v>28</v>
      </c>
      <c r="G575" s="15" t="s">
        <v>29</v>
      </c>
      <c r="H575" s="15" t="s">
        <v>50</v>
      </c>
      <c r="I575" s="15" t="n">
        <v>4</v>
      </c>
      <c r="J575" s="18" t="n">
        <v>100</v>
      </c>
      <c r="K575" s="18" t="n">
        <v>88</v>
      </c>
      <c r="L575" s="19" t="n">
        <f aca="false">I575*J575</f>
        <v>400</v>
      </c>
      <c r="M575" s="19" t="n">
        <f aca="false">L575-I575*K575</f>
        <v>48</v>
      </c>
    </row>
    <row r="576" customFormat="false" ht="15" hidden="false" customHeight="false" outlineLevel="0" collapsed="false">
      <c r="A576" s="15" t="s">
        <v>618</v>
      </c>
      <c r="B576" s="16" t="n">
        <v>45328</v>
      </c>
      <c r="C576" s="17" t="n">
        <f aca="false">YEAR(B576)</f>
        <v>2024</v>
      </c>
      <c r="D576" s="17" t="n">
        <f aca="false">MONTH(B576)</f>
        <v>2</v>
      </c>
      <c r="E576" s="15" t="s">
        <v>33</v>
      </c>
      <c r="F576" s="15" t="s">
        <v>34</v>
      </c>
      <c r="G576" s="15" t="s">
        <v>35</v>
      </c>
      <c r="H576" s="15" t="s">
        <v>50</v>
      </c>
      <c r="I576" s="15" t="n">
        <v>2</v>
      </c>
      <c r="J576" s="18" t="n">
        <v>2799</v>
      </c>
      <c r="K576" s="18" t="n">
        <v>2100</v>
      </c>
      <c r="L576" s="19" t="n">
        <f aca="false">I576*J576</f>
        <v>5598</v>
      </c>
      <c r="M576" s="19" t="n">
        <f aca="false">L576-I576*K576</f>
        <v>1398</v>
      </c>
    </row>
    <row r="577" customFormat="false" ht="15" hidden="false" customHeight="false" outlineLevel="0" collapsed="false">
      <c r="A577" s="15" t="s">
        <v>619</v>
      </c>
      <c r="B577" s="16" t="n">
        <v>46001</v>
      </c>
      <c r="C577" s="17" t="n">
        <f aca="false">YEAR(B577)</f>
        <v>2025</v>
      </c>
      <c r="D577" s="17" t="n">
        <f aca="false">MONTH(B577)</f>
        <v>12</v>
      </c>
      <c r="E577" s="15" t="s">
        <v>27</v>
      </c>
      <c r="F577" s="15" t="s">
        <v>28</v>
      </c>
      <c r="G577" s="15" t="s">
        <v>39</v>
      </c>
      <c r="H577" s="15" t="s">
        <v>50</v>
      </c>
      <c r="I577" s="15" t="n">
        <v>4</v>
      </c>
      <c r="J577" s="18" t="n">
        <v>100</v>
      </c>
      <c r="K577" s="18" t="n">
        <v>88</v>
      </c>
      <c r="L577" s="19" t="n">
        <f aca="false">I577*J577</f>
        <v>400</v>
      </c>
      <c r="M577" s="19" t="n">
        <f aca="false">L577-I577*K577</f>
        <v>48</v>
      </c>
    </row>
    <row r="578" customFormat="false" ht="15" hidden="false" customHeight="false" outlineLevel="0" collapsed="false">
      <c r="A578" s="15" t="s">
        <v>620</v>
      </c>
      <c r="B578" s="16" t="n">
        <v>45821</v>
      </c>
      <c r="C578" s="17" t="n">
        <f aca="false">YEAR(B578)</f>
        <v>2025</v>
      </c>
      <c r="D578" s="17" t="n">
        <f aca="false">MONTH(B578)</f>
        <v>6</v>
      </c>
      <c r="E578" s="15" t="s">
        <v>33</v>
      </c>
      <c r="F578" s="15" t="s">
        <v>34</v>
      </c>
      <c r="G578" s="15" t="s">
        <v>29</v>
      </c>
      <c r="H578" s="15" t="s">
        <v>30</v>
      </c>
      <c r="I578" s="15" t="n">
        <v>2</v>
      </c>
      <c r="J578" s="18" t="n">
        <v>2799</v>
      </c>
      <c r="K578" s="18" t="n">
        <v>2100</v>
      </c>
      <c r="L578" s="19" t="n">
        <f aca="false">I578*J578</f>
        <v>5598</v>
      </c>
      <c r="M578" s="19" t="n">
        <f aca="false">L578-I578*K578</f>
        <v>1398</v>
      </c>
    </row>
    <row r="579" customFormat="false" ht="15" hidden="false" customHeight="false" outlineLevel="0" collapsed="false">
      <c r="A579" s="15" t="s">
        <v>621</v>
      </c>
      <c r="B579" s="16" t="n">
        <v>45426</v>
      </c>
      <c r="C579" s="17" t="n">
        <f aca="false">YEAR(B579)</f>
        <v>2024</v>
      </c>
      <c r="D579" s="17" t="n">
        <f aca="false">MONTH(B579)</f>
        <v>5</v>
      </c>
      <c r="E579" s="15" t="s">
        <v>57</v>
      </c>
      <c r="F579" s="15" t="s">
        <v>38</v>
      </c>
      <c r="G579" s="15" t="s">
        <v>39</v>
      </c>
      <c r="H579" s="15" t="s">
        <v>50</v>
      </c>
      <c r="I579" s="15" t="n">
        <v>1</v>
      </c>
      <c r="J579" s="18" t="n">
        <v>699</v>
      </c>
      <c r="K579" s="18" t="n">
        <v>420</v>
      </c>
      <c r="L579" s="19" t="n">
        <f aca="false">I579*J579</f>
        <v>699</v>
      </c>
      <c r="M579" s="19" t="n">
        <f aca="false">L579-I579*K579</f>
        <v>279</v>
      </c>
    </row>
    <row r="580" customFormat="false" ht="15" hidden="false" customHeight="false" outlineLevel="0" collapsed="false">
      <c r="A580" s="15" t="s">
        <v>622</v>
      </c>
      <c r="B580" s="16" t="n">
        <v>45770</v>
      </c>
      <c r="C580" s="17" t="n">
        <f aca="false">YEAR(B580)</f>
        <v>2025</v>
      </c>
      <c r="D580" s="17" t="n">
        <f aca="false">MONTH(B580)</f>
        <v>4</v>
      </c>
      <c r="E580" s="15" t="s">
        <v>37</v>
      </c>
      <c r="F580" s="15" t="s">
        <v>38</v>
      </c>
      <c r="G580" s="15" t="s">
        <v>55</v>
      </c>
      <c r="H580" s="15" t="s">
        <v>30</v>
      </c>
      <c r="I580" s="15" t="n">
        <v>4</v>
      </c>
      <c r="J580" s="18" t="n">
        <v>449</v>
      </c>
      <c r="K580" s="18" t="n">
        <v>260</v>
      </c>
      <c r="L580" s="19" t="n">
        <f aca="false">I580*J580</f>
        <v>1796</v>
      </c>
      <c r="M580" s="19" t="n">
        <f aca="false">L580-I580*K580</f>
        <v>756</v>
      </c>
    </row>
    <row r="581" customFormat="false" ht="15" hidden="false" customHeight="false" outlineLevel="0" collapsed="false">
      <c r="A581" s="15" t="s">
        <v>623</v>
      </c>
      <c r="B581" s="16" t="n">
        <v>45298</v>
      </c>
      <c r="C581" s="17" t="n">
        <f aca="false">YEAR(B581)</f>
        <v>2024</v>
      </c>
      <c r="D581" s="17" t="n">
        <f aca="false">MONTH(B581)</f>
        <v>1</v>
      </c>
      <c r="E581" s="15" t="s">
        <v>37</v>
      </c>
      <c r="F581" s="15" t="s">
        <v>38</v>
      </c>
      <c r="G581" s="15" t="s">
        <v>55</v>
      </c>
      <c r="H581" s="15" t="s">
        <v>30</v>
      </c>
      <c r="I581" s="15" t="n">
        <v>4</v>
      </c>
      <c r="J581" s="18" t="n">
        <v>449</v>
      </c>
      <c r="K581" s="18" t="n">
        <v>260</v>
      </c>
      <c r="L581" s="19" t="n">
        <f aca="false">I581*J581</f>
        <v>1796</v>
      </c>
      <c r="M581" s="19" t="n">
        <f aca="false">L581-I581*K581</f>
        <v>756</v>
      </c>
    </row>
    <row r="582" customFormat="false" ht="15" hidden="false" customHeight="false" outlineLevel="0" collapsed="false">
      <c r="A582" s="15" t="s">
        <v>624</v>
      </c>
      <c r="B582" s="16" t="n">
        <v>45762</v>
      </c>
      <c r="C582" s="17" t="n">
        <f aca="false">YEAR(B582)</f>
        <v>2025</v>
      </c>
      <c r="D582" s="17" t="n">
        <f aca="false">MONTH(B582)</f>
        <v>4</v>
      </c>
      <c r="E582" s="15" t="s">
        <v>27</v>
      </c>
      <c r="F582" s="15" t="s">
        <v>28</v>
      </c>
      <c r="G582" s="15" t="s">
        <v>29</v>
      </c>
      <c r="H582" s="15" t="s">
        <v>50</v>
      </c>
      <c r="I582" s="15" t="n">
        <v>1</v>
      </c>
      <c r="J582" s="18" t="n">
        <v>100</v>
      </c>
      <c r="K582" s="18" t="n">
        <v>88</v>
      </c>
      <c r="L582" s="19" t="n">
        <f aca="false">I582*J582</f>
        <v>100</v>
      </c>
      <c r="M582" s="19" t="n">
        <f aca="false">L582-I582*K582</f>
        <v>12</v>
      </c>
    </row>
    <row r="583" customFormat="false" ht="15" hidden="false" customHeight="false" outlineLevel="0" collapsed="false">
      <c r="A583" s="15" t="s">
        <v>625</v>
      </c>
      <c r="B583" s="16" t="n">
        <v>45439</v>
      </c>
      <c r="C583" s="17" t="n">
        <f aca="false">YEAR(B583)</f>
        <v>2024</v>
      </c>
      <c r="D583" s="17" t="n">
        <f aca="false">MONTH(B583)</f>
        <v>5</v>
      </c>
      <c r="E583" s="15" t="s">
        <v>37</v>
      </c>
      <c r="F583" s="15" t="s">
        <v>38</v>
      </c>
      <c r="G583" s="15" t="s">
        <v>43</v>
      </c>
      <c r="H583" s="15" t="s">
        <v>50</v>
      </c>
      <c r="I583" s="15" t="n">
        <v>3</v>
      </c>
      <c r="J583" s="18" t="n">
        <v>449</v>
      </c>
      <c r="K583" s="18" t="n">
        <v>260</v>
      </c>
      <c r="L583" s="19" t="n">
        <f aca="false">I583*J583</f>
        <v>1347</v>
      </c>
      <c r="M583" s="19" t="n">
        <f aca="false">L583-I583*K583</f>
        <v>567</v>
      </c>
    </row>
    <row r="584" customFormat="false" ht="15" hidden="false" customHeight="false" outlineLevel="0" collapsed="false">
      <c r="A584" s="15" t="s">
        <v>626</v>
      </c>
      <c r="B584" s="16" t="n">
        <v>45657</v>
      </c>
      <c r="C584" s="17" t="n">
        <f aca="false">YEAR(B584)</f>
        <v>2024</v>
      </c>
      <c r="D584" s="17" t="n">
        <f aca="false">MONTH(B584)</f>
        <v>12</v>
      </c>
      <c r="E584" s="15" t="s">
        <v>57</v>
      </c>
      <c r="F584" s="15" t="s">
        <v>38</v>
      </c>
      <c r="G584" s="15" t="s">
        <v>35</v>
      </c>
      <c r="H584" s="15" t="s">
        <v>30</v>
      </c>
      <c r="I584" s="15" t="n">
        <v>2</v>
      </c>
      <c r="J584" s="18" t="n">
        <v>699</v>
      </c>
      <c r="K584" s="18" t="n">
        <v>420</v>
      </c>
      <c r="L584" s="19" t="n">
        <f aca="false">I584*J584</f>
        <v>1398</v>
      </c>
      <c r="M584" s="19" t="n">
        <f aca="false">L584-I584*K584</f>
        <v>558</v>
      </c>
    </row>
    <row r="585" customFormat="false" ht="15" hidden="false" customHeight="false" outlineLevel="0" collapsed="false">
      <c r="A585" s="15" t="s">
        <v>627</v>
      </c>
      <c r="B585" s="16" t="n">
        <v>45866</v>
      </c>
      <c r="C585" s="17" t="n">
        <f aca="false">YEAR(B585)</f>
        <v>2025</v>
      </c>
      <c r="D585" s="17" t="n">
        <f aca="false">MONTH(B585)</f>
        <v>7</v>
      </c>
      <c r="E585" s="15" t="s">
        <v>27</v>
      </c>
      <c r="F585" s="15" t="s">
        <v>28</v>
      </c>
      <c r="G585" s="15" t="s">
        <v>35</v>
      </c>
      <c r="H585" s="15" t="s">
        <v>50</v>
      </c>
      <c r="I585" s="15" t="n">
        <v>1</v>
      </c>
      <c r="J585" s="18" t="n">
        <v>100</v>
      </c>
      <c r="K585" s="18" t="n">
        <v>88</v>
      </c>
      <c r="L585" s="19" t="n">
        <f aca="false">I585*J585</f>
        <v>100</v>
      </c>
      <c r="M585" s="19" t="n">
        <f aca="false">L585-I585*K585</f>
        <v>12</v>
      </c>
    </row>
    <row r="586" customFormat="false" ht="15" hidden="false" customHeight="false" outlineLevel="0" collapsed="false">
      <c r="A586" s="15" t="s">
        <v>628</v>
      </c>
      <c r="B586" s="16" t="n">
        <v>45940</v>
      </c>
      <c r="C586" s="17" t="n">
        <f aca="false">YEAR(B586)</f>
        <v>2025</v>
      </c>
      <c r="D586" s="17" t="n">
        <f aca="false">MONTH(B586)</f>
        <v>10</v>
      </c>
      <c r="E586" s="15" t="s">
        <v>57</v>
      </c>
      <c r="F586" s="15" t="s">
        <v>38</v>
      </c>
      <c r="G586" s="15" t="s">
        <v>55</v>
      </c>
      <c r="H586" s="15" t="s">
        <v>30</v>
      </c>
      <c r="I586" s="15" t="n">
        <v>1</v>
      </c>
      <c r="J586" s="18" t="n">
        <v>699</v>
      </c>
      <c r="K586" s="18" t="n">
        <v>420</v>
      </c>
      <c r="L586" s="19" t="n">
        <f aca="false">I586*J586</f>
        <v>699</v>
      </c>
      <c r="M586" s="19" t="n">
        <f aca="false">L586-I586*K586</f>
        <v>279</v>
      </c>
    </row>
    <row r="587" customFormat="false" ht="15" hidden="false" customHeight="false" outlineLevel="0" collapsed="false">
      <c r="A587" s="15" t="s">
        <v>629</v>
      </c>
      <c r="B587" s="16" t="n">
        <v>45535</v>
      </c>
      <c r="C587" s="17" t="n">
        <f aca="false">YEAR(B587)</f>
        <v>2024</v>
      </c>
      <c r="D587" s="17" t="n">
        <f aca="false">MONTH(B587)</f>
        <v>8</v>
      </c>
      <c r="E587" s="15" t="s">
        <v>27</v>
      </c>
      <c r="F587" s="15" t="s">
        <v>28</v>
      </c>
      <c r="G587" s="15" t="s">
        <v>29</v>
      </c>
      <c r="H587" s="15" t="s">
        <v>30</v>
      </c>
      <c r="I587" s="15" t="n">
        <v>2</v>
      </c>
      <c r="J587" s="18" t="n">
        <v>100</v>
      </c>
      <c r="K587" s="18" t="n">
        <v>88</v>
      </c>
      <c r="L587" s="19" t="n">
        <f aca="false">I587*J587</f>
        <v>200</v>
      </c>
      <c r="M587" s="19" t="n">
        <f aca="false">L587-I587*K587</f>
        <v>24</v>
      </c>
    </row>
    <row r="588" customFormat="false" ht="15" hidden="false" customHeight="false" outlineLevel="0" collapsed="false">
      <c r="A588" s="15" t="s">
        <v>630</v>
      </c>
      <c r="B588" s="16" t="n">
        <v>45641</v>
      </c>
      <c r="C588" s="17" t="n">
        <f aca="false">YEAR(B588)</f>
        <v>2024</v>
      </c>
      <c r="D588" s="17" t="n">
        <f aca="false">MONTH(B588)</f>
        <v>12</v>
      </c>
      <c r="E588" s="15" t="s">
        <v>48</v>
      </c>
      <c r="F588" s="15" t="s">
        <v>28</v>
      </c>
      <c r="G588" s="15" t="s">
        <v>55</v>
      </c>
      <c r="H588" s="15" t="s">
        <v>40</v>
      </c>
      <c r="I588" s="15" t="n">
        <v>2</v>
      </c>
      <c r="J588" s="18" t="n">
        <v>149</v>
      </c>
      <c r="K588" s="18" t="n">
        <v>60</v>
      </c>
      <c r="L588" s="19" t="n">
        <f aca="false">I588*J588</f>
        <v>298</v>
      </c>
      <c r="M588" s="19" t="n">
        <f aca="false">L588-I588*K588</f>
        <v>178</v>
      </c>
    </row>
    <row r="589" customFormat="false" ht="15" hidden="false" customHeight="false" outlineLevel="0" collapsed="false">
      <c r="A589" s="15" t="s">
        <v>631</v>
      </c>
      <c r="B589" s="16" t="n">
        <v>45707</v>
      </c>
      <c r="C589" s="17" t="n">
        <f aca="false">YEAR(B589)</f>
        <v>2025</v>
      </c>
      <c r="D589" s="17" t="n">
        <f aca="false">MONTH(B589)</f>
        <v>2</v>
      </c>
      <c r="E589" s="15" t="s">
        <v>37</v>
      </c>
      <c r="F589" s="15" t="s">
        <v>38</v>
      </c>
      <c r="G589" s="15" t="s">
        <v>29</v>
      </c>
      <c r="H589" s="15" t="s">
        <v>50</v>
      </c>
      <c r="I589" s="15" t="n">
        <v>3</v>
      </c>
      <c r="J589" s="18" t="n">
        <v>449</v>
      </c>
      <c r="K589" s="18" t="n">
        <v>260</v>
      </c>
      <c r="L589" s="19" t="n">
        <f aca="false">I589*J589</f>
        <v>1347</v>
      </c>
      <c r="M589" s="19" t="n">
        <f aca="false">L589-I589*K589</f>
        <v>567</v>
      </c>
    </row>
    <row r="590" customFormat="false" ht="15" hidden="false" customHeight="false" outlineLevel="0" collapsed="false">
      <c r="A590" s="15" t="s">
        <v>632</v>
      </c>
      <c r="B590" s="16" t="n">
        <v>45785</v>
      </c>
      <c r="C590" s="17" t="n">
        <f aca="false">YEAR(B590)</f>
        <v>2025</v>
      </c>
      <c r="D590" s="17" t="n">
        <f aca="false">MONTH(B590)</f>
        <v>5</v>
      </c>
      <c r="E590" s="15" t="s">
        <v>57</v>
      </c>
      <c r="F590" s="15" t="s">
        <v>38</v>
      </c>
      <c r="G590" s="15" t="s">
        <v>35</v>
      </c>
      <c r="H590" s="15" t="s">
        <v>50</v>
      </c>
      <c r="I590" s="15" t="n">
        <v>2</v>
      </c>
      <c r="J590" s="18" t="n">
        <v>699</v>
      </c>
      <c r="K590" s="18" t="n">
        <v>420</v>
      </c>
      <c r="L590" s="19" t="n">
        <f aca="false">I590*J590</f>
        <v>1398</v>
      </c>
      <c r="M590" s="19" t="n">
        <f aca="false">L590-I590*K590</f>
        <v>558</v>
      </c>
    </row>
    <row r="591" customFormat="false" ht="15" hidden="false" customHeight="false" outlineLevel="0" collapsed="false">
      <c r="A591" s="15" t="s">
        <v>633</v>
      </c>
      <c r="B591" s="16" t="n">
        <v>45446</v>
      </c>
      <c r="C591" s="17" t="n">
        <f aca="false">YEAR(B591)</f>
        <v>2024</v>
      </c>
      <c r="D591" s="17" t="n">
        <f aca="false">MONTH(B591)</f>
        <v>6</v>
      </c>
      <c r="E591" s="15" t="s">
        <v>33</v>
      </c>
      <c r="F591" s="15" t="s">
        <v>34</v>
      </c>
      <c r="G591" s="15" t="s">
        <v>35</v>
      </c>
      <c r="H591" s="15" t="s">
        <v>50</v>
      </c>
      <c r="I591" s="15" t="n">
        <v>1</v>
      </c>
      <c r="J591" s="18" t="n">
        <v>2799</v>
      </c>
      <c r="K591" s="18" t="n">
        <v>2100</v>
      </c>
      <c r="L591" s="19" t="n">
        <f aca="false">I591*J591</f>
        <v>2799</v>
      </c>
      <c r="M591" s="19" t="n">
        <f aca="false">L591-I591*K591</f>
        <v>699</v>
      </c>
    </row>
    <row r="592" customFormat="false" ht="15" hidden="false" customHeight="false" outlineLevel="0" collapsed="false">
      <c r="A592" s="15" t="s">
        <v>634</v>
      </c>
      <c r="B592" s="16" t="n">
        <v>45706</v>
      </c>
      <c r="C592" s="17" t="n">
        <f aca="false">YEAR(B592)</f>
        <v>2025</v>
      </c>
      <c r="D592" s="17" t="n">
        <f aca="false">MONTH(B592)</f>
        <v>2</v>
      </c>
      <c r="E592" s="15" t="s">
        <v>37</v>
      </c>
      <c r="F592" s="15" t="s">
        <v>38</v>
      </c>
      <c r="G592" s="15" t="s">
        <v>35</v>
      </c>
      <c r="H592" s="15" t="s">
        <v>40</v>
      </c>
      <c r="I592" s="15" t="n">
        <v>3</v>
      </c>
      <c r="J592" s="18" t="n">
        <v>449</v>
      </c>
      <c r="K592" s="18" t="n">
        <v>260</v>
      </c>
      <c r="L592" s="19" t="n">
        <f aca="false">I592*J592</f>
        <v>1347</v>
      </c>
      <c r="M592" s="19" t="n">
        <f aca="false">L592-I592*K592</f>
        <v>567</v>
      </c>
    </row>
    <row r="593" customFormat="false" ht="15" hidden="false" customHeight="false" outlineLevel="0" collapsed="false">
      <c r="A593" s="15" t="s">
        <v>635</v>
      </c>
      <c r="B593" s="16" t="n">
        <v>45439</v>
      </c>
      <c r="C593" s="17" t="n">
        <f aca="false">YEAR(B593)</f>
        <v>2024</v>
      </c>
      <c r="D593" s="17" t="n">
        <f aca="false">MONTH(B593)</f>
        <v>5</v>
      </c>
      <c r="E593" s="15" t="s">
        <v>37</v>
      </c>
      <c r="F593" s="15" t="s">
        <v>38</v>
      </c>
      <c r="G593" s="15" t="s">
        <v>39</v>
      </c>
      <c r="H593" s="15" t="s">
        <v>40</v>
      </c>
      <c r="I593" s="15" t="n">
        <v>3</v>
      </c>
      <c r="J593" s="18" t="n">
        <v>449</v>
      </c>
      <c r="K593" s="18" t="n">
        <v>260</v>
      </c>
      <c r="L593" s="19" t="n">
        <f aca="false">I593*J593</f>
        <v>1347</v>
      </c>
      <c r="M593" s="19" t="n">
        <f aca="false">L593-I593*K593</f>
        <v>567</v>
      </c>
    </row>
    <row r="594" customFormat="false" ht="15" hidden="false" customHeight="false" outlineLevel="0" collapsed="false">
      <c r="A594" s="15" t="s">
        <v>636</v>
      </c>
      <c r="B594" s="16" t="n">
        <v>45966</v>
      </c>
      <c r="C594" s="17" t="n">
        <f aca="false">YEAR(B594)</f>
        <v>2025</v>
      </c>
      <c r="D594" s="17" t="n">
        <f aca="false">MONTH(B594)</f>
        <v>11</v>
      </c>
      <c r="E594" s="15" t="s">
        <v>27</v>
      </c>
      <c r="F594" s="15" t="s">
        <v>28</v>
      </c>
      <c r="G594" s="15" t="s">
        <v>39</v>
      </c>
      <c r="H594" s="15" t="s">
        <v>30</v>
      </c>
      <c r="I594" s="15" t="n">
        <v>3</v>
      </c>
      <c r="J594" s="18" t="n">
        <v>100</v>
      </c>
      <c r="K594" s="18" t="n">
        <v>88</v>
      </c>
      <c r="L594" s="19" t="n">
        <f aca="false">I594*J594</f>
        <v>300</v>
      </c>
      <c r="M594" s="19" t="n">
        <f aca="false">L594-I594*K594</f>
        <v>36</v>
      </c>
    </row>
    <row r="595" customFormat="false" ht="15" hidden="false" customHeight="false" outlineLevel="0" collapsed="false">
      <c r="A595" s="15" t="s">
        <v>637</v>
      </c>
      <c r="B595" s="16" t="n">
        <v>45373</v>
      </c>
      <c r="C595" s="17" t="n">
        <f aca="false">YEAR(B595)</f>
        <v>2024</v>
      </c>
      <c r="D595" s="17" t="n">
        <f aca="false">MONTH(B595)</f>
        <v>3</v>
      </c>
      <c r="E595" s="15" t="s">
        <v>57</v>
      </c>
      <c r="F595" s="15" t="s">
        <v>38</v>
      </c>
      <c r="G595" s="15" t="s">
        <v>29</v>
      </c>
      <c r="H595" s="15" t="s">
        <v>50</v>
      </c>
      <c r="I595" s="15" t="n">
        <v>3</v>
      </c>
      <c r="J595" s="18" t="n">
        <v>699</v>
      </c>
      <c r="K595" s="18" t="n">
        <v>420</v>
      </c>
      <c r="L595" s="19" t="n">
        <f aca="false">I595*J595</f>
        <v>2097</v>
      </c>
      <c r="M595" s="19" t="n">
        <f aca="false">L595-I595*K595</f>
        <v>837</v>
      </c>
    </row>
    <row r="596" customFormat="false" ht="15" hidden="false" customHeight="false" outlineLevel="0" collapsed="false">
      <c r="A596" s="15" t="s">
        <v>638</v>
      </c>
      <c r="B596" s="16" t="n">
        <v>45657</v>
      </c>
      <c r="C596" s="17" t="n">
        <f aca="false">YEAR(B596)</f>
        <v>2024</v>
      </c>
      <c r="D596" s="17" t="n">
        <f aca="false">MONTH(B596)</f>
        <v>12</v>
      </c>
      <c r="E596" s="15" t="s">
        <v>27</v>
      </c>
      <c r="F596" s="15" t="s">
        <v>28</v>
      </c>
      <c r="G596" s="15" t="s">
        <v>29</v>
      </c>
      <c r="H596" s="15" t="s">
        <v>50</v>
      </c>
      <c r="I596" s="15" t="n">
        <v>4</v>
      </c>
      <c r="J596" s="18" t="n">
        <v>100</v>
      </c>
      <c r="K596" s="18" t="n">
        <v>88</v>
      </c>
      <c r="L596" s="19" t="n">
        <f aca="false">I596*J596</f>
        <v>400</v>
      </c>
      <c r="M596" s="19" t="n">
        <f aca="false">L596-I596*K596</f>
        <v>48</v>
      </c>
    </row>
    <row r="597" customFormat="false" ht="15" hidden="false" customHeight="false" outlineLevel="0" collapsed="false">
      <c r="A597" s="15" t="s">
        <v>639</v>
      </c>
      <c r="B597" s="16" t="n">
        <v>45788</v>
      </c>
      <c r="C597" s="17" t="n">
        <f aca="false">YEAR(B597)</f>
        <v>2025</v>
      </c>
      <c r="D597" s="17" t="n">
        <f aca="false">MONTH(B597)</f>
        <v>5</v>
      </c>
      <c r="E597" s="15" t="s">
        <v>37</v>
      </c>
      <c r="F597" s="15" t="s">
        <v>38</v>
      </c>
      <c r="G597" s="15" t="s">
        <v>55</v>
      </c>
      <c r="H597" s="15" t="s">
        <v>30</v>
      </c>
      <c r="I597" s="15" t="n">
        <v>2</v>
      </c>
      <c r="J597" s="18" t="n">
        <v>449</v>
      </c>
      <c r="K597" s="18" t="n">
        <v>260</v>
      </c>
      <c r="L597" s="19" t="n">
        <f aca="false">I597*J597</f>
        <v>898</v>
      </c>
      <c r="M597" s="19" t="n">
        <f aca="false">L597-I597*K597</f>
        <v>378</v>
      </c>
    </row>
    <row r="598" customFormat="false" ht="15" hidden="false" customHeight="false" outlineLevel="0" collapsed="false">
      <c r="A598" s="15" t="s">
        <v>640</v>
      </c>
      <c r="B598" s="16" t="n">
        <v>45315</v>
      </c>
      <c r="C598" s="17" t="n">
        <f aca="false">YEAR(B598)</f>
        <v>2024</v>
      </c>
      <c r="D598" s="17" t="n">
        <f aca="false">MONTH(B598)</f>
        <v>1</v>
      </c>
      <c r="E598" s="15" t="s">
        <v>48</v>
      </c>
      <c r="F598" s="15" t="s">
        <v>28</v>
      </c>
      <c r="G598" s="15" t="s">
        <v>39</v>
      </c>
      <c r="H598" s="15" t="s">
        <v>30</v>
      </c>
      <c r="I598" s="15" t="n">
        <v>3</v>
      </c>
      <c r="J598" s="18" t="n">
        <v>149</v>
      </c>
      <c r="K598" s="18" t="n">
        <v>60</v>
      </c>
      <c r="L598" s="19" t="n">
        <f aca="false">I598*J598</f>
        <v>447</v>
      </c>
      <c r="M598" s="19" t="n">
        <f aca="false">L598-I598*K598</f>
        <v>267</v>
      </c>
    </row>
    <row r="599" customFormat="false" ht="15" hidden="false" customHeight="false" outlineLevel="0" collapsed="false">
      <c r="A599" s="15" t="s">
        <v>641</v>
      </c>
      <c r="B599" s="16" t="n">
        <v>45340</v>
      </c>
      <c r="C599" s="17" t="n">
        <f aca="false">YEAR(B599)</f>
        <v>2024</v>
      </c>
      <c r="D599" s="17" t="n">
        <f aca="false">MONTH(B599)</f>
        <v>2</v>
      </c>
      <c r="E599" s="15" t="s">
        <v>37</v>
      </c>
      <c r="F599" s="15" t="s">
        <v>38</v>
      </c>
      <c r="G599" s="15" t="s">
        <v>35</v>
      </c>
      <c r="H599" s="15" t="s">
        <v>30</v>
      </c>
      <c r="I599" s="15" t="n">
        <v>2</v>
      </c>
      <c r="J599" s="18" t="n">
        <v>449</v>
      </c>
      <c r="K599" s="18" t="n">
        <v>260</v>
      </c>
      <c r="L599" s="19" t="n">
        <f aca="false">I599*J599</f>
        <v>898</v>
      </c>
      <c r="M599" s="19" t="n">
        <f aca="false">L599-I599*K599</f>
        <v>378</v>
      </c>
    </row>
    <row r="600" customFormat="false" ht="15" hidden="false" customHeight="false" outlineLevel="0" collapsed="false">
      <c r="A600" s="15" t="s">
        <v>642</v>
      </c>
      <c r="B600" s="16" t="n">
        <v>45805</v>
      </c>
      <c r="C600" s="17" t="n">
        <f aca="false">YEAR(B600)</f>
        <v>2025</v>
      </c>
      <c r="D600" s="17" t="n">
        <f aca="false">MONTH(B600)</f>
        <v>5</v>
      </c>
      <c r="E600" s="15" t="s">
        <v>48</v>
      </c>
      <c r="F600" s="15" t="s">
        <v>28</v>
      </c>
      <c r="G600" s="15" t="s">
        <v>39</v>
      </c>
      <c r="H600" s="15" t="s">
        <v>30</v>
      </c>
      <c r="I600" s="15" t="n">
        <v>2</v>
      </c>
      <c r="J600" s="18" t="n">
        <v>149</v>
      </c>
      <c r="K600" s="18" t="n">
        <v>60</v>
      </c>
      <c r="L600" s="19" t="n">
        <f aca="false">I600*J600</f>
        <v>298</v>
      </c>
      <c r="M600" s="19" t="n">
        <f aca="false">L600-I600*K600</f>
        <v>178</v>
      </c>
    </row>
    <row r="601" customFormat="false" ht="15" hidden="false" customHeight="false" outlineLevel="0" collapsed="false">
      <c r="A601" s="15" t="s">
        <v>643</v>
      </c>
      <c r="B601" s="16" t="n">
        <v>45424</v>
      </c>
      <c r="C601" s="17" t="n">
        <f aca="false">YEAR(B601)</f>
        <v>2024</v>
      </c>
      <c r="D601" s="17" t="n">
        <f aca="false">MONTH(B601)</f>
        <v>5</v>
      </c>
      <c r="E601" s="15" t="s">
        <v>57</v>
      </c>
      <c r="F601" s="15" t="s">
        <v>38</v>
      </c>
      <c r="G601" s="15" t="s">
        <v>39</v>
      </c>
      <c r="H601" s="15" t="s">
        <v>50</v>
      </c>
      <c r="I601" s="15" t="n">
        <v>1</v>
      </c>
      <c r="J601" s="18" t="n">
        <v>699</v>
      </c>
      <c r="K601" s="18" t="n">
        <v>420</v>
      </c>
      <c r="L601" s="19" t="n">
        <f aca="false">I601*J601</f>
        <v>699</v>
      </c>
      <c r="M601" s="19" t="n">
        <f aca="false">L601-I601*K601</f>
        <v>279</v>
      </c>
    </row>
  </sheetData>
  <autoFilter ref="A1:M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21" t="s">
        <v>644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customFormat="false" ht="15" hidden="false" customHeight="false" outlineLevel="0" collapsed="false">
      <c r="A2" s="22" t="s">
        <v>645</v>
      </c>
      <c r="B2" s="22" t="str">
        <f aca="false">IF(Dashboard!$C$4="Todos","&lt;&gt;",Dashboard!$C$4)</f>
        <v>&lt;&gt;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customFormat="false" ht="15" hidden="false" customHeight="false" outlineLevel="0" collapsed="false">
      <c r="A3" s="22" t="s">
        <v>646</v>
      </c>
      <c r="B3" s="22" t="str">
        <f aca="false">IF(Dashboard!$F$4="Todos","&lt;&gt;",Dashboard!$F$4)</f>
        <v>&lt;&gt;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3" t="s">
        <v>647</v>
      </c>
      <c r="B5" s="23" t="s">
        <v>15</v>
      </c>
      <c r="C5" s="23" t="s">
        <v>648</v>
      </c>
      <c r="D5" s="23" t="s">
        <v>649</v>
      </c>
      <c r="E5" s="22"/>
      <c r="F5" s="23" t="s">
        <v>16</v>
      </c>
      <c r="G5" s="23" t="s">
        <v>648</v>
      </c>
      <c r="H5" s="23" t="s">
        <v>650</v>
      </c>
      <c r="I5" s="22"/>
      <c r="J5" s="23" t="s">
        <v>18</v>
      </c>
      <c r="K5" s="23" t="s">
        <v>648</v>
      </c>
      <c r="L5" s="22"/>
      <c r="M5" s="23" t="s">
        <v>19</v>
      </c>
      <c r="N5" s="23" t="s">
        <v>648</v>
      </c>
      <c r="O5" s="22"/>
      <c r="P5" s="23" t="s">
        <v>651</v>
      </c>
      <c r="Q5" s="23" t="s">
        <v>652</v>
      </c>
    </row>
    <row r="6" customFormat="false" ht="15" hidden="false" customHeight="false" outlineLevel="0" collapsed="false">
      <c r="A6" s="22" t="n">
        <v>1</v>
      </c>
      <c r="B6" s="22" t="s">
        <v>653</v>
      </c>
      <c r="C6" s="24" t="n">
        <f aca="false">SUMIFS(Base_Dados!$L$2:$L$601,Base_Dados!$D$2:$D$601,$A6,Base_Dados!$C$2:$C$601,$B$2,Base_Dados!$G$2:$G$601,$B$3)</f>
        <v>102614</v>
      </c>
      <c r="D6" s="24" t="n">
        <f aca="false">SUMIFS(Base_Dados!$M$2:$M$601,Base_Dados!$D$2:$D$601,$A6,Base_Dados!$C$2:$C$601,$B$2,Base_Dados!$G$2:$G$601,$B$3)</f>
        <v>29250</v>
      </c>
      <c r="E6" s="22"/>
      <c r="F6" s="22" t="s">
        <v>62</v>
      </c>
      <c r="G6" s="24" t="n">
        <f aca="false">SUMIFS(Base_Dados!$L$2:$L$601,Base_Dados!$E$2:$E$601,$F6,Base_Dados!$C$2:$C$601,$B$2,Base_Dados!$G$2:$G$601,$B$3)</f>
        <v>310431</v>
      </c>
      <c r="H6" s="22" t="n">
        <f aca="false">SUMIFS(Base_Dados!$I$2:$I$601,Base_Dados!$E$2:$E$601,$F6,Base_Dados!$C$2:$C$601,$B$2,Base_Dados!$G$2:$G$601,$B$3)</f>
        <v>69</v>
      </c>
      <c r="I6" s="22"/>
      <c r="J6" s="22" t="s">
        <v>43</v>
      </c>
      <c r="K6" s="24" t="n">
        <f aca="false">SUMIFS(Base_Dados!$L$2:$L$601,Base_Dados!$G$2:$G$601,$J6,Base_Dados!$C$2:$C$601,$B$2)</f>
        <v>34297</v>
      </c>
      <c r="L6" s="22"/>
      <c r="M6" s="22" t="s">
        <v>30</v>
      </c>
      <c r="N6" s="24" t="n">
        <f aca="false">SUMIFS(Base_Dados!$L$2:$L$601,Base_Dados!$H$2:$H$601,$M6,Base_Dados!$C$2:$C$601,$B$2,Base_Dados!$G$2:$G$601,$B$3)</f>
        <v>438889</v>
      </c>
      <c r="O6" s="22"/>
      <c r="P6" s="22" t="s">
        <v>654</v>
      </c>
      <c r="Q6" s="24" t="n">
        <f aca="false">SUMIFS(Base_Dados!$L$2:$L$601,Base_Dados!$C$2:$C$601,$B$2,Base_Dados!$G$2:$G$601,$B$3)</f>
        <v>1003583</v>
      </c>
    </row>
    <row r="7" customFormat="false" ht="15" hidden="false" customHeight="false" outlineLevel="0" collapsed="false">
      <c r="A7" s="22" t="n">
        <v>2</v>
      </c>
      <c r="B7" s="22" t="s">
        <v>655</v>
      </c>
      <c r="C7" s="24" t="n">
        <f aca="false">SUMIFS(Base_Dados!$L$2:$L$601,Base_Dados!$D$2:$D$601,$A7,Base_Dados!$C$2:$C$601,$B$2,Base_Dados!$G$2:$G$601,$B$3)</f>
        <v>113064</v>
      </c>
      <c r="D7" s="24" t="n">
        <f aca="false">SUMIFS(Base_Dados!$M$2:$M$601,Base_Dados!$D$2:$D$601,$A7,Base_Dados!$C$2:$C$601,$B$2,Base_Dados!$G$2:$G$601,$B$3)</f>
        <v>32216</v>
      </c>
      <c r="E7" s="22"/>
      <c r="F7" s="22" t="s">
        <v>33</v>
      </c>
      <c r="G7" s="24" t="n">
        <f aca="false">SUMIFS(Base_Dados!$L$2:$L$601,Base_Dados!$E$2:$E$601,$F7,Base_Dados!$C$2:$C$601,$B$2,Base_Dados!$G$2:$G$601,$B$3)</f>
        <v>330282</v>
      </c>
      <c r="H7" s="22" t="n">
        <f aca="false">SUMIFS(Base_Dados!$I$2:$I$601,Base_Dados!$E$2:$E$601,$F7,Base_Dados!$C$2:$C$601,$B$2,Base_Dados!$G$2:$G$601,$B$3)</f>
        <v>118</v>
      </c>
      <c r="I7" s="22"/>
      <c r="J7" s="22" t="s">
        <v>39</v>
      </c>
      <c r="K7" s="24" t="n">
        <f aca="false">SUMIFS(Base_Dados!$L$2:$L$601,Base_Dados!$G$2:$G$601,$J7,Base_Dados!$C$2:$C$601,$B$2)</f>
        <v>236967</v>
      </c>
      <c r="L7" s="22"/>
      <c r="M7" s="22" t="s">
        <v>40</v>
      </c>
      <c r="N7" s="24" t="n">
        <f aca="false">SUMIFS(Base_Dados!$L$2:$L$601,Base_Dados!$H$2:$H$601,$M7,Base_Dados!$C$2:$C$601,$B$2,Base_Dados!$G$2:$G$601,$B$3)</f>
        <v>287263</v>
      </c>
      <c r="O7" s="22"/>
      <c r="P7" s="22" t="s">
        <v>656</v>
      </c>
      <c r="Q7" s="25" t="n">
        <f aca="false">SUMIFS(Base_Dados!$I$2:$I$601,Base_Dados!$C$2:$C$601,$B$2,Base_Dados!$G$2:$G$601,$B$3)</f>
        <v>1365</v>
      </c>
    </row>
    <row r="8" customFormat="false" ht="15" hidden="false" customHeight="false" outlineLevel="0" collapsed="false">
      <c r="A8" s="22" t="n">
        <v>3</v>
      </c>
      <c r="B8" s="22" t="s">
        <v>657</v>
      </c>
      <c r="C8" s="24" t="n">
        <f aca="false">SUMIFS(Base_Dados!$L$2:$L$601,Base_Dados!$D$2:$D$601,$A8,Base_Dados!$C$2:$C$601,$B$2,Base_Dados!$G$2:$G$601,$B$3)</f>
        <v>81198</v>
      </c>
      <c r="D8" s="24" t="n">
        <f aca="false">SUMIFS(Base_Dados!$M$2:$M$601,Base_Dados!$D$2:$D$601,$A8,Base_Dados!$C$2:$C$601,$B$2,Base_Dados!$G$2:$G$601,$B$3)</f>
        <v>25830</v>
      </c>
      <c r="E8" s="22"/>
      <c r="F8" s="22" t="s">
        <v>37</v>
      </c>
      <c r="G8" s="24" t="n">
        <f aca="false">SUMIFS(Base_Dados!$L$2:$L$601,Base_Dados!$E$2:$E$601,$F8,Base_Dados!$C$2:$C$601,$B$2,Base_Dados!$G$2:$G$601,$B$3)</f>
        <v>199356</v>
      </c>
      <c r="H8" s="22" t="n">
        <f aca="false">SUMIFS(Base_Dados!$I$2:$I$601,Base_Dados!$E$2:$E$601,$F8,Base_Dados!$C$2:$C$601,$B$2,Base_Dados!$G$2:$G$601,$B$3)</f>
        <v>444</v>
      </c>
      <c r="I8" s="22"/>
      <c r="J8" s="22" t="s">
        <v>55</v>
      </c>
      <c r="K8" s="24" t="n">
        <f aca="false">SUMIFS(Base_Dados!$L$2:$L$601,Base_Dados!$G$2:$G$601,$J8,Base_Dados!$C$2:$C$601,$B$2)</f>
        <v>130570</v>
      </c>
      <c r="L8" s="22"/>
      <c r="M8" s="22" t="s">
        <v>50</v>
      </c>
      <c r="N8" s="24" t="n">
        <f aca="false">SUMIFS(Base_Dados!$L$2:$L$601,Base_Dados!$H$2:$H$601,$M8,Base_Dados!$C$2:$C$601,$B$2,Base_Dados!$G$2:$G$601,$B$3)</f>
        <v>277431</v>
      </c>
      <c r="O8" s="22"/>
      <c r="P8" s="22" t="s">
        <v>658</v>
      </c>
      <c r="Q8" s="24" t="n">
        <f aca="false">SUMIFS(Base_Dados!$M$2:$M$601,Base_Dados!$C$2:$C$601,$B$2,Base_Dados!$G$2:$G$601,$B$3)</f>
        <v>308359</v>
      </c>
    </row>
    <row r="9" customFormat="false" ht="15" hidden="false" customHeight="false" outlineLevel="0" collapsed="false">
      <c r="A9" s="22" t="n">
        <v>4</v>
      </c>
      <c r="B9" s="22" t="s">
        <v>659</v>
      </c>
      <c r="C9" s="24" t="n">
        <f aca="false">SUMIFS(Base_Dados!$L$2:$L$601,Base_Dados!$D$2:$D$601,$A9,Base_Dados!$C$2:$C$601,$B$2,Base_Dados!$G$2:$G$601,$B$3)</f>
        <v>104811</v>
      </c>
      <c r="D9" s="24" t="n">
        <f aca="false">SUMIFS(Base_Dados!$M$2:$M$601,Base_Dados!$D$2:$D$601,$A9,Base_Dados!$C$2:$C$601,$B$2,Base_Dados!$G$2:$G$601,$B$3)</f>
        <v>30655</v>
      </c>
      <c r="E9" s="22"/>
      <c r="F9" s="22" t="s">
        <v>57</v>
      </c>
      <c r="G9" s="24" t="n">
        <f aca="false">SUMIFS(Base_Dados!$L$2:$L$601,Base_Dados!$E$2:$E$601,$F9,Base_Dados!$C$2:$C$601,$B$2,Base_Dados!$G$2:$G$601,$B$3)</f>
        <v>87375</v>
      </c>
      <c r="H9" s="22" t="n">
        <f aca="false">SUMIFS(Base_Dados!$I$2:$I$601,Base_Dados!$E$2:$E$601,$F9,Base_Dados!$C$2:$C$601,$B$2,Base_Dados!$G$2:$G$601,$B$3)</f>
        <v>125</v>
      </c>
      <c r="I9" s="22"/>
      <c r="J9" s="22" t="s">
        <v>29</v>
      </c>
      <c r="K9" s="24" t="n">
        <f aca="false">SUMIFS(Base_Dados!$L$2:$L$601,Base_Dados!$G$2:$G$601,$J9,Base_Dados!$C$2:$C$601,$B$2)</f>
        <v>423154</v>
      </c>
      <c r="L9" s="22"/>
      <c r="M9" s="22"/>
      <c r="N9" s="24"/>
      <c r="O9" s="22"/>
      <c r="P9" s="22" t="s">
        <v>660</v>
      </c>
      <c r="Q9" s="26" t="n">
        <f aca="false">IFERROR(Q8/Q6,0)</f>
        <v>0.307258094248308</v>
      </c>
    </row>
    <row r="10" customFormat="false" ht="15" hidden="false" customHeight="false" outlineLevel="0" collapsed="false">
      <c r="A10" s="22" t="n">
        <v>5</v>
      </c>
      <c r="B10" s="22" t="s">
        <v>661</v>
      </c>
      <c r="C10" s="24" t="n">
        <f aca="false">SUMIFS(Base_Dados!$L$2:$L$601,Base_Dados!$D$2:$D$601,$A10,Base_Dados!$C$2:$C$601,$B$2,Base_Dados!$G$2:$G$601,$B$3)</f>
        <v>89466</v>
      </c>
      <c r="D10" s="24" t="n">
        <f aca="false">SUMIFS(Base_Dados!$M$2:$M$601,Base_Dados!$D$2:$D$601,$A10,Base_Dados!$C$2:$C$601,$B$2,Base_Dados!$G$2:$G$601,$B$3)</f>
        <v>31166</v>
      </c>
      <c r="E10" s="22"/>
      <c r="F10" s="22" t="s">
        <v>48</v>
      </c>
      <c r="G10" s="24" t="n">
        <f aca="false">SUMIFS(Base_Dados!$L$2:$L$601,Base_Dados!$E$2:$E$601,$F10,Base_Dados!$C$2:$C$601,$B$2,Base_Dados!$G$2:$G$601,$B$3)</f>
        <v>46339</v>
      </c>
      <c r="H10" s="22" t="n">
        <f aca="false">SUMIFS(Base_Dados!$I$2:$I$601,Base_Dados!$E$2:$E$601,$F10,Base_Dados!$C$2:$C$601,$B$2,Base_Dados!$G$2:$G$601,$B$3)</f>
        <v>311</v>
      </c>
      <c r="I10" s="22"/>
      <c r="J10" s="22" t="s">
        <v>35</v>
      </c>
      <c r="K10" s="24" t="n">
        <f aca="false">SUMIFS(Base_Dados!$L$2:$L$601,Base_Dados!$G$2:$G$601,$J10,Base_Dados!$C$2:$C$601,$B$2)</f>
        <v>178595</v>
      </c>
      <c r="L10" s="22"/>
      <c r="M10" s="22"/>
      <c r="N10" s="24"/>
      <c r="O10" s="22"/>
      <c r="P10" s="22" t="s">
        <v>662</v>
      </c>
      <c r="Q10" s="25" t="n">
        <f aca="false">COUNTIFS(Base_Dados!$C$2:$C$601,$B$2,Base_Dados!$G$2:$G$601,$B$3)</f>
        <v>600</v>
      </c>
    </row>
    <row r="11" customFormat="false" ht="15" hidden="false" customHeight="false" outlineLevel="0" collapsed="false">
      <c r="A11" s="22" t="n">
        <v>6</v>
      </c>
      <c r="B11" s="22" t="s">
        <v>663</v>
      </c>
      <c r="C11" s="24" t="n">
        <f aca="false">SUMIFS(Base_Dados!$L$2:$L$601,Base_Dados!$D$2:$D$601,$A11,Base_Dados!$C$2:$C$601,$B$2,Base_Dados!$G$2:$G$601,$B$3)</f>
        <v>74260</v>
      </c>
      <c r="D11" s="24" t="n">
        <f aca="false">SUMIFS(Base_Dados!$M$2:$M$601,Base_Dados!$D$2:$D$601,$A11,Base_Dados!$C$2:$C$601,$B$2,Base_Dados!$G$2:$G$601,$B$3)</f>
        <v>23612</v>
      </c>
      <c r="E11" s="22"/>
      <c r="F11" s="22" t="s">
        <v>27</v>
      </c>
      <c r="G11" s="24" t="n">
        <f aca="false">SUMIFS(Base_Dados!$L$2:$L$601,Base_Dados!$E$2:$E$601,$F11,Base_Dados!$C$2:$C$601,$B$2,Base_Dados!$G$2:$G$601,$B$3)</f>
        <v>29800</v>
      </c>
      <c r="H11" s="22" t="n">
        <f aca="false">SUMIFS(Base_Dados!$I$2:$I$601,Base_Dados!$E$2:$E$601,$F11,Base_Dados!$C$2:$C$601,$B$2,Base_Dados!$G$2:$G$601,$B$3)</f>
        <v>298</v>
      </c>
      <c r="I11" s="22"/>
      <c r="J11" s="22"/>
      <c r="K11" s="24"/>
      <c r="L11" s="22"/>
      <c r="M11" s="22"/>
      <c r="N11" s="24"/>
      <c r="O11" s="22"/>
      <c r="P11" s="22" t="s">
        <v>664</v>
      </c>
      <c r="Q11" s="24" t="n">
        <f aca="false">IFERROR(Q6/Q10,0)</f>
        <v>1672.63833333333</v>
      </c>
    </row>
    <row r="12" customFormat="false" ht="15" hidden="false" customHeight="false" outlineLevel="0" collapsed="false">
      <c r="A12" s="22" t="n">
        <v>7</v>
      </c>
      <c r="B12" s="22" t="s">
        <v>665</v>
      </c>
      <c r="C12" s="24" t="n">
        <f aca="false">SUMIFS(Base_Dados!$L$2:$L$601,Base_Dados!$D$2:$D$601,$A12,Base_Dados!$C$2:$C$601,$B$2,Base_Dados!$G$2:$G$601,$B$3)</f>
        <v>74312</v>
      </c>
      <c r="D12" s="24" t="n">
        <f aca="false">SUMIFS(Base_Dados!$M$2:$M$601,Base_Dados!$D$2:$D$601,$A12,Base_Dados!$C$2:$C$601,$B$2,Base_Dados!$G$2:$G$601,$B$3)</f>
        <v>23576</v>
      </c>
      <c r="E12" s="22"/>
      <c r="F12" s="22"/>
      <c r="G12" s="24"/>
      <c r="H12" s="22"/>
      <c r="I12" s="22"/>
      <c r="J12" s="6" t="s">
        <v>666</v>
      </c>
      <c r="K12" s="24"/>
      <c r="L12" s="22"/>
      <c r="M12" s="22"/>
      <c r="N12" s="24"/>
      <c r="O12" s="22"/>
      <c r="P12" s="22" t="s">
        <v>667</v>
      </c>
      <c r="Q12" s="27" t="str">
        <f aca="false">INDEX(F6:F11,MATCH(MAX(G6:G11),G6:G11,0))</f>
        <v>Console Xbox Series S</v>
      </c>
    </row>
    <row r="13" customFormat="false" ht="15" hidden="false" customHeight="false" outlineLevel="0" collapsed="false">
      <c r="A13" s="22" t="n">
        <v>8</v>
      </c>
      <c r="B13" s="22" t="s">
        <v>668</v>
      </c>
      <c r="C13" s="24" t="n">
        <f aca="false">SUMIFS(Base_Dados!$L$2:$L$601,Base_Dados!$D$2:$D$601,$A13,Base_Dados!$C$2:$C$601,$B$2,Base_Dados!$G$2:$G$601,$B$3)</f>
        <v>97366</v>
      </c>
      <c r="D13" s="24" t="n">
        <f aca="false">SUMIFS(Base_Dados!$M$2:$M$601,Base_Dados!$D$2:$D$601,$A13,Base_Dados!$C$2:$C$601,$B$2,Base_Dados!$G$2:$G$601,$B$3)</f>
        <v>28606</v>
      </c>
      <c r="E13" s="22"/>
      <c r="F13" s="22"/>
      <c r="G13" s="24"/>
      <c r="H13" s="22"/>
      <c r="I13" s="22"/>
      <c r="J13" s="22"/>
      <c r="K13" s="24"/>
      <c r="L13" s="22"/>
      <c r="M13" s="22"/>
      <c r="N13" s="24"/>
      <c r="O13" s="22"/>
      <c r="P13" s="22" t="s">
        <v>669</v>
      </c>
      <c r="Q13" s="26" t="n">
        <f aca="false">IFERROR(MAX(G6:G11)/Q6,0)</f>
        <v>0.329102824579532</v>
      </c>
    </row>
    <row r="14" customFormat="false" ht="15" hidden="false" customHeight="false" outlineLevel="0" collapsed="false">
      <c r="A14" s="22" t="n">
        <v>9</v>
      </c>
      <c r="B14" s="22" t="s">
        <v>670</v>
      </c>
      <c r="C14" s="24" t="n">
        <f aca="false">SUMIFS(Base_Dados!$L$2:$L$601,Base_Dados!$D$2:$D$601,$A14,Base_Dados!$C$2:$C$601,$B$2,Base_Dados!$G$2:$G$601,$B$3)</f>
        <v>69781</v>
      </c>
      <c r="D14" s="24" t="n">
        <f aca="false">SUMIFS(Base_Dados!$M$2:$M$601,Base_Dados!$D$2:$D$601,$A14,Base_Dados!$C$2:$C$601,$B$2,Base_Dados!$G$2:$G$601,$B$3)</f>
        <v>20961</v>
      </c>
      <c r="E14" s="22"/>
      <c r="F14" s="22"/>
      <c r="G14" s="24"/>
      <c r="H14" s="22"/>
      <c r="I14" s="22"/>
      <c r="J14" s="22"/>
      <c r="K14" s="24"/>
      <c r="L14" s="22"/>
      <c r="M14" s="22"/>
      <c r="N14" s="24"/>
      <c r="O14" s="22"/>
      <c r="P14" s="22" t="s">
        <v>671</v>
      </c>
      <c r="Q14" s="27" t="str">
        <f aca="false">INDEX(B6:B17,MATCH(MAX(C6:C17),C6:C17,0))</f>
        <v>Fev</v>
      </c>
    </row>
    <row r="15" customFormat="false" ht="15" hidden="false" customHeight="false" outlineLevel="0" collapsed="false">
      <c r="A15" s="22" t="n">
        <v>10</v>
      </c>
      <c r="B15" s="22" t="s">
        <v>672</v>
      </c>
      <c r="C15" s="24" t="n">
        <f aca="false">SUMIFS(Base_Dados!$L$2:$L$601,Base_Dados!$D$2:$D$601,$A15,Base_Dados!$C$2:$C$601,$B$2,Base_Dados!$G$2:$G$601,$B$3)</f>
        <v>93012</v>
      </c>
      <c r="D15" s="24" t="n">
        <f aca="false">SUMIFS(Base_Dados!$M$2:$M$601,Base_Dados!$D$2:$D$601,$A15,Base_Dados!$C$2:$C$601,$B$2,Base_Dados!$G$2:$G$601,$B$3)</f>
        <v>27664</v>
      </c>
      <c r="E15" s="22"/>
      <c r="F15" s="22"/>
      <c r="G15" s="24"/>
      <c r="H15" s="22"/>
      <c r="I15" s="22"/>
      <c r="J15" s="22"/>
      <c r="K15" s="24"/>
      <c r="L15" s="22"/>
      <c r="M15" s="22"/>
      <c r="N15" s="24"/>
      <c r="O15" s="22"/>
      <c r="P15" s="22" t="s">
        <v>673</v>
      </c>
      <c r="Q15" s="27" t="str">
        <f aca="false">INDEX(J6:J10,MATCH(MAX(K6:K10),K6:K10,0))</f>
        <v>Sudeste</v>
      </c>
    </row>
    <row r="16" customFormat="false" ht="15" hidden="false" customHeight="false" outlineLevel="0" collapsed="false">
      <c r="A16" s="22" t="n">
        <v>11</v>
      </c>
      <c r="B16" s="22" t="s">
        <v>674</v>
      </c>
      <c r="C16" s="24" t="n">
        <f aca="false">SUMIFS(Base_Dados!$L$2:$L$601,Base_Dados!$D$2:$D$601,$A16,Base_Dados!$C$2:$C$601,$B$2,Base_Dados!$G$2:$G$601,$B$3)</f>
        <v>49885</v>
      </c>
      <c r="D16" s="24" t="n">
        <f aca="false">SUMIFS(Base_Dados!$M$2:$M$601,Base_Dados!$D$2:$D$601,$A16,Base_Dados!$C$2:$C$601,$B$2,Base_Dados!$G$2:$G$601,$B$3)</f>
        <v>15689</v>
      </c>
      <c r="E16" s="22"/>
      <c r="F16" s="22"/>
      <c r="G16" s="24"/>
      <c r="H16" s="22"/>
      <c r="I16" s="22"/>
      <c r="J16" s="22"/>
      <c r="K16" s="24"/>
      <c r="L16" s="22"/>
      <c r="M16" s="22"/>
      <c r="N16" s="24"/>
      <c r="O16" s="22"/>
      <c r="P16" s="22" t="s">
        <v>675</v>
      </c>
      <c r="Q16" s="27" t="str">
        <f aca="false">INDEX(M6:M8,MATCH(MAX(N6:N8),N6:N8,0))</f>
        <v>Loja Online</v>
      </c>
    </row>
    <row r="17" customFormat="false" ht="15" hidden="false" customHeight="false" outlineLevel="0" collapsed="false">
      <c r="A17" s="22" t="n">
        <v>12</v>
      </c>
      <c r="B17" s="22" t="s">
        <v>676</v>
      </c>
      <c r="C17" s="24" t="n">
        <f aca="false">SUMIFS(Base_Dados!$L$2:$L$601,Base_Dados!$D$2:$D$601,$A17,Base_Dados!$C$2:$C$601,$B$2,Base_Dados!$G$2:$G$601,$B$3)</f>
        <v>53814</v>
      </c>
      <c r="D17" s="24" t="n">
        <f aca="false">SUMIFS(Base_Dados!$M$2:$M$601,Base_Dados!$D$2:$D$601,$A17,Base_Dados!$C$2:$C$601,$B$2,Base_Dados!$G$2:$G$601,$B$3)</f>
        <v>19134</v>
      </c>
      <c r="E17" s="22"/>
      <c r="F17" s="22"/>
      <c r="G17" s="24"/>
      <c r="H17" s="22"/>
      <c r="I17" s="22"/>
      <c r="J17" s="22"/>
      <c r="K17" s="24"/>
      <c r="L17" s="22"/>
      <c r="M17" s="22"/>
      <c r="N17" s="24"/>
      <c r="O17" s="22"/>
      <c r="P17" s="22"/>
      <c r="Q17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2026-10-06T21:24:17Z</dcterms:created>
  <dc:creator>openpyxl</dc:creator>
  <dc:description/>
  <dc:language>en-US</dc:language>
  <cp:lastModifiedBy/>
  <dcterms:modified xsi:type="dcterms:W3CDTF">2026-10-06T21:24:20Z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